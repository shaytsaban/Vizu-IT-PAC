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7"/>
  <workbookPr/>
  <mc:AlternateContent xmlns:mc="http://schemas.openxmlformats.org/markup-compatibility/2006">
    <mc:Choice Requires="x15">
      <x15ac:absPath xmlns:x15ac="http://schemas.microsoft.com/office/spreadsheetml/2010/11/ac" url="https://mypac-my.sharepoint.com/personal/shay_tsaban_pac_org_il/Documents/PAC Vizu - IT/2025B/"/>
    </mc:Choice>
  </mc:AlternateContent>
  <xr:revisionPtr revIDLastSave="0" documentId="8_{FF6B4E4A-746F-E74A-9E73-1895568394EE}" xr6:coauthVersionLast="47" xr6:coauthVersionMax="47" xr10:uidLastSave="{00000000-0000-0000-0000-000000000000}"/>
  <bookViews>
    <workbookView xWindow="0" yWindow="500" windowWidth="25600" windowHeight="14040" activeTab="3" xr2:uid="{00000000-000D-0000-FFFF-FFFF00000000}"/>
  </bookViews>
  <sheets>
    <sheet name="Form Responses 1" sheetId="1" r:id="rId1"/>
    <sheet name="Form Responses 1 (2)" sheetId="2" r:id="rId2"/>
    <sheet name="Form Responses 1 (3)" sheetId="3" r:id="rId3"/>
    <sheet name="Sheet4" sheetId="5" r:id="rId4"/>
    <sheet name="Form Responses 1 (4)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3" l="1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R22" i="3"/>
  <c r="Q22" i="3"/>
  <c r="P22" i="3"/>
  <c r="O22" i="3"/>
  <c r="N22" i="3"/>
  <c r="M22" i="3"/>
  <c r="L22" i="3"/>
  <c r="K22" i="3"/>
  <c r="J22" i="3"/>
  <c r="H22" i="3"/>
  <c r="G22" i="3"/>
  <c r="F22" i="3"/>
  <c r="E22" i="3"/>
  <c r="D22" i="3"/>
  <c r="C22" i="3"/>
  <c r="B22" i="3"/>
  <c r="A22" i="3"/>
  <c r="B22" i="2"/>
  <c r="C22" i="2"/>
  <c r="D22" i="2"/>
  <c r="E22" i="2"/>
  <c r="F22" i="2"/>
  <c r="G22" i="2"/>
  <c r="H22" i="2"/>
  <c r="I22" i="2"/>
  <c r="J22" i="2"/>
  <c r="K22" i="2"/>
  <c r="L22" i="2"/>
  <c r="M22" i="2"/>
  <c r="N22" i="2"/>
  <c r="O22" i="2"/>
  <c r="P22" i="2"/>
  <c r="Q22" i="2"/>
  <c r="A22" i="2"/>
</calcChain>
</file>

<file path=xl/sharedStrings.xml><?xml version="1.0" encoding="utf-8"?>
<sst xmlns="http://schemas.openxmlformats.org/spreadsheetml/2006/main" count="131" uniqueCount="60">
  <si>
    <t>Timestamp</t>
  </si>
  <si>
    <t>עד כמה אתה מרוצה מחייך כרגע</t>
  </si>
  <si>
    <t>כמה אתה מחייך בכל יום</t>
  </si>
  <si>
    <t>האם כשאתה קם/ה בבוקר אתה מלא ציפייה לקראת היום שבפניך?</t>
  </si>
  <si>
    <t>עד כמה אתה מרוצה ממערכת היחסים הזוגית שלך?</t>
  </si>
  <si>
    <t>האם אתה מרגיש הוקרת תודה על הדברים שיש לך?</t>
  </si>
  <si>
    <t>עד כמה אתה מרגיש מלא אנרגיה לבצע פעילויות שאתה צריך?</t>
  </si>
  <si>
    <t>אני מתאושש מהר ממשברים</t>
  </si>
  <si>
    <t>אני מרגיש תחושת משמעות בחיים</t>
  </si>
  <si>
    <t>האם אתה ישן הרבה שעות בלילה</t>
  </si>
  <si>
    <t>האם אתה טוחן חדר כושר ופעילות ספורטיבית?</t>
  </si>
  <si>
    <t>האם אתה מבלה זמן רב בחוץ ובטבע?</t>
  </si>
  <si>
    <t>האם אתה אוהב את העבודה שלך?</t>
  </si>
  <si>
    <t>האם נכון לומר שאתה מקדיש זמן רב לחברים ולמשפחה?</t>
  </si>
  <si>
    <t>איך הית מתאר את הדיאטה שלך</t>
  </si>
  <si>
    <t>האם החיים שלך מאוזנים מבחינת הפרדה ושילוב של עבודה וחיים אישיים</t>
  </si>
  <si>
    <t>עד כמה אתה מבצע מדיטציה ותרגילי מיינדפולנס?</t>
  </si>
  <si>
    <t>עד כמה אתה מרגיש בריא פיזית ונפשית</t>
  </si>
  <si>
    <t>curr_happiness</t>
  </si>
  <si>
    <t>smile</t>
  </si>
  <si>
    <t>anticipation</t>
  </si>
  <si>
    <t>relationship_hap</t>
  </si>
  <si>
    <t>gratitude</t>
  </si>
  <si>
    <t>energy</t>
  </si>
  <si>
    <t>bounce_back</t>
  </si>
  <si>
    <t>meaning</t>
  </si>
  <si>
    <t>sleep</t>
  </si>
  <si>
    <t>working_out</t>
  </si>
  <si>
    <t>nature_exposure</t>
  </si>
  <si>
    <t>like_your_work</t>
  </si>
  <si>
    <t>time_for_ff</t>
  </si>
  <si>
    <t>diet</t>
  </si>
  <si>
    <t>balance</t>
  </si>
  <si>
    <t>meditation</t>
  </si>
  <si>
    <t>health</t>
  </si>
  <si>
    <t>overall_happiness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</si>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</sst>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m/d/yyyy\ h:mm:ss"/>
    <numFmt numFmtId="173" formatCode="0.000"/>
  </numFmts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i/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442F65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442F65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164" fontId="1" fillId="0" borderId="4" xfId="0" applyNumberFormat="1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164" fontId="1" fillId="0" borderId="7" xfId="0" applyNumberFormat="1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164" fontId="1" fillId="0" borderId="10" xfId="0" applyNumberFormat="1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0" fillId="2" borderId="0" xfId="0" applyFill="1"/>
    <xf numFmtId="0" fontId="1" fillId="2" borderId="2" xfId="0" applyFont="1" applyFill="1" applyBorder="1" applyAlignment="1">
      <alignment horizontal="right" vertical="center"/>
    </xf>
    <xf numFmtId="0" fontId="1" fillId="2" borderId="3" xfId="0" applyFont="1" applyFill="1" applyBorder="1" applyAlignment="1">
      <alignment horizontal="right" vertical="center"/>
    </xf>
    <xf numFmtId="0" fontId="2" fillId="0" borderId="0" xfId="0" applyFont="1"/>
    <xf numFmtId="0" fontId="2" fillId="0" borderId="0" xfId="0" applyFont="1" applyFill="1" applyBorder="1"/>
    <xf numFmtId="0" fontId="2" fillId="2" borderId="0" xfId="0" applyFont="1" applyFill="1"/>
    <xf numFmtId="0" fontId="2" fillId="2" borderId="0" xfId="0" applyFont="1" applyFill="1" applyBorder="1"/>
    <xf numFmtId="0" fontId="2" fillId="3" borderId="0" xfId="0" applyFont="1" applyFill="1" applyBorder="1"/>
    <xf numFmtId="0" fontId="0" fillId="0" borderId="0" xfId="0" applyFill="1" applyBorder="1" applyAlignment="1"/>
    <xf numFmtId="0" fontId="0" fillId="0" borderId="13" xfId="0" applyFill="1" applyBorder="1" applyAlignment="1"/>
    <xf numFmtId="0" fontId="3" fillId="0" borderId="14" xfId="0" applyFont="1" applyFill="1" applyBorder="1" applyAlignment="1">
      <alignment horizontal="center"/>
    </xf>
    <xf numFmtId="0" fontId="3" fillId="0" borderId="14" xfId="0" applyFont="1" applyFill="1" applyBorder="1" applyAlignment="1">
      <alignment horizontal="centerContinuous"/>
    </xf>
    <xf numFmtId="173" fontId="0" fillId="0" borderId="0" xfId="0" applyNumberFormat="1" applyFill="1" applyBorder="1" applyAlignment="1"/>
    <xf numFmtId="173" fontId="0" fillId="0" borderId="13" xfId="0" applyNumberFormat="1" applyFill="1" applyBorder="1" applyAlignment="1"/>
    <xf numFmtId="173" fontId="0" fillId="3" borderId="0" xfId="0" applyNumberFormat="1" applyFill="1" applyBorder="1" applyAlignment="1"/>
    <xf numFmtId="173" fontId="0" fillId="3" borderId="13" xfId="0" applyNumberFormat="1" applyFill="1" applyBorder="1" applyAlignment="1"/>
    <xf numFmtId="0" fontId="0" fillId="3" borderId="0" xfId="0" applyFill="1" applyBorder="1" applyAlignment="1"/>
    <xf numFmtId="0" fontId="0" fillId="3" borderId="13" xfId="0" applyFill="1" applyBorder="1" applyAlignment="1"/>
  </cellXfs>
  <cellStyles count="1"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rgb="FFF8F9FA"/>
        </left>
        <right style="thin">
          <color rgb="FFF8F9FA"/>
        </right>
        <top style="thin">
          <color rgb="FFF8F9FA"/>
        </top>
        <bottom style="thin">
          <color rgb="FFF8F9F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fill>
        <patternFill patternType="solid">
          <fgColor indexed="64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rgb="FFF8F9FA"/>
        </left>
        <right style="thin">
          <color rgb="FFF8F9FA"/>
        </right>
        <top style="thin">
          <color rgb="FFF8F9FA"/>
        </top>
        <bottom style="thin">
          <color rgb="FFF8F9FA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3" xr9:uid="{00000000-0011-0000-FFFF-FFFF00000000}">
      <tableStyleElement type="headerRow" dxfId="7"/>
      <tableStyleElement type="firstRowStripe" dxfId="6"/>
      <tableStyleElement type="secondRowStripe" dxfId="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1" displayName="Form_Responses1" ref="A1:R21">
  <tableColumns count="18">
    <tableColumn id="1" xr3:uid="{00000000-0010-0000-0000-000001000000}" name="Timestamp"/>
    <tableColumn id="2" xr3:uid="{00000000-0010-0000-0000-000002000000}" name="עד כמה אתה מרוצה מחייך כרגע"/>
    <tableColumn id="3" xr3:uid="{00000000-0010-0000-0000-000003000000}" name="כמה אתה מחייך בכל יום"/>
    <tableColumn id="4" xr3:uid="{00000000-0010-0000-0000-000004000000}" name="האם כשאתה קם/ה בבוקר אתה מלא ציפייה לקראת היום שבפניך?"/>
    <tableColumn id="5" xr3:uid="{00000000-0010-0000-0000-000005000000}" name="עד כמה אתה מרוצה ממערכת היחסים הזוגית שלך?"/>
    <tableColumn id="6" xr3:uid="{00000000-0010-0000-0000-000006000000}" name="האם אתה מרגיש הוקרת תודה על הדברים שיש לך?"/>
    <tableColumn id="7" xr3:uid="{00000000-0010-0000-0000-000007000000}" name="עד כמה אתה מרגיש מלא אנרגיה לבצע פעילויות שאתה צריך?"/>
    <tableColumn id="8" xr3:uid="{00000000-0010-0000-0000-000008000000}" name="אני מתאושש מהר ממשברים"/>
    <tableColumn id="9" xr3:uid="{00000000-0010-0000-0000-000009000000}" name="אני מרגיש תחושת משמעות בחיים"/>
    <tableColumn id="10" xr3:uid="{00000000-0010-0000-0000-00000A000000}" name="האם אתה ישן הרבה שעות בלילה"/>
    <tableColumn id="11" xr3:uid="{00000000-0010-0000-0000-00000B000000}" name="האם אתה טוחן חדר כושר ופעילות ספורטיבית?"/>
    <tableColumn id="12" xr3:uid="{00000000-0010-0000-0000-00000C000000}" name="האם אתה מבלה זמן רב בחוץ ובטבע?"/>
    <tableColumn id="13" xr3:uid="{00000000-0010-0000-0000-00000D000000}" name="האם אתה אוהב את העבודה שלך?"/>
    <tableColumn id="14" xr3:uid="{00000000-0010-0000-0000-00000E000000}" name="האם נכון לומר שאתה מקדיש זמן רב לחברים ולמשפחה?"/>
    <tableColumn id="15" xr3:uid="{00000000-0010-0000-0000-00000F000000}" name="איך הית מתאר את הדיאטה שלך"/>
    <tableColumn id="16" xr3:uid="{00000000-0010-0000-0000-000010000000}" name="האם החיים שלך מאוזנים מבחינת הפרדה ושילוב של עבודה וחיים אישיים"/>
    <tableColumn id="17" xr3:uid="{00000000-0010-0000-0000-000011000000}" name="עד כמה אתה מבצע מדיטציה ותרגילי מיינדפולנס?"/>
    <tableColumn id="18" xr3:uid="{00000000-0010-0000-0000-000012000000}" name="עד כמה אתה מרגיש בריא פיזית ונפשית"/>
  </tableColumns>
  <tableStyleInfo name="Form Responses 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764116E-8A43-B746-AB91-EFAB2628B21A}" name="Form_Responses13" displayName="Form_Responses13" ref="A1:Q20" headerRowDxfId="4">
  <tableColumns count="17">
    <tableColumn id="2" xr3:uid="{EB847FB0-138A-FF42-8B7B-8FC1FA104ABE}" name="עד כמה אתה מרוצה מחייך כרגע"/>
    <tableColumn id="3" xr3:uid="{96092643-FD73-3E4D-87A2-58F5748984EA}" name="כמה אתה מחייך בכל יום"/>
    <tableColumn id="4" xr3:uid="{35966075-CB4E-DE47-9410-F401B67DAA6E}" name="האם כשאתה קם/ה בבוקר אתה מלא ציפייה לקראת היום שבפניך?"/>
    <tableColumn id="5" xr3:uid="{CE71C992-3EA8-294F-A2AE-C89D886C1F71}" name="עד כמה אתה מרוצה ממערכת היחסים הזוגית שלך?"/>
    <tableColumn id="6" xr3:uid="{F1B31223-2259-5D4D-9F69-9C3056A6B4F2}" name="האם אתה מרגיש הוקרת תודה על הדברים שיש לך?"/>
    <tableColumn id="7" xr3:uid="{6B96B3DE-9461-3746-B0AC-2B1875F76888}" name="עד כמה אתה מרגיש מלא אנרגיה לבצע פעילויות שאתה צריך?"/>
    <tableColumn id="8" xr3:uid="{D8D5AD7D-DEFA-954C-91CC-FA6C9A151494}" name="אני מתאושש מהר ממשברים"/>
    <tableColumn id="9" xr3:uid="{939577AD-F923-DA46-8061-9DA845F91C59}" name="אני מרגיש תחושת משמעות בחיים"/>
    <tableColumn id="10" xr3:uid="{03795016-B4DA-A743-AA61-DA714B36BF3C}" name="האם אתה ישן הרבה שעות בלילה"/>
    <tableColumn id="11" xr3:uid="{B0B98C65-7FC0-444B-ABD8-454B7F4C184E}" name="האם אתה טוחן חדר כושר ופעילות ספורטיבית?"/>
    <tableColumn id="12" xr3:uid="{98D730EC-077A-4F4B-8797-9643506EAB74}" name="האם אתה מבלה זמן רב בחוץ ובטבע?"/>
    <tableColumn id="13" xr3:uid="{0693626E-D490-354A-A647-46A92CF55B03}" name="האם אתה אוהב את העבודה שלך?"/>
    <tableColumn id="14" xr3:uid="{F42120E3-06D1-CE4F-BD6C-B5C201ED4C53}" name="האם נכון לומר שאתה מקדיש זמן רב לחברים ולמשפחה?"/>
    <tableColumn id="15" xr3:uid="{3B827D42-DEE8-3445-942E-096AA978612C}" name="איך הית מתאר את הדיאטה שלך"/>
    <tableColumn id="16" xr3:uid="{08311073-E0E5-8149-BE96-61593F64C39D}" name="האם החיים שלך מאוזנים מבחינת הפרדה ושילוב של עבודה וחיים אישיים"/>
    <tableColumn id="17" xr3:uid="{EBA6B6BA-E321-984B-9165-3B132E1F7E84}" name="עד כמה אתה מבצע מדיטציה ותרגילי מיינדפולנס?"/>
    <tableColumn id="18" xr3:uid="{4DA5B67D-200D-5B44-9E11-3FDB010A16E8}" name="עד כמה אתה מרגיש בריא פיזית ונפשית"/>
  </tableColumns>
  <tableStyleInfo name="Form Responses 1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BB54B33-7347-B84B-80B2-25C4570ED708}" name="Form_Responses134" displayName="Form_Responses134" ref="A1:R20" headerRowDxfId="3">
  <tableColumns count="18">
    <tableColumn id="2" xr3:uid="{1ADBD8B0-5DCE-C04A-B8AE-66B83A64585E}" name="curr_happiness"/>
    <tableColumn id="3" xr3:uid="{07FC8077-E487-3249-A94E-8AEE6952AFBF}" name="smile"/>
    <tableColumn id="4" xr3:uid="{A05F5436-7546-E14D-A51B-5320CBF62578}" name="anticipation"/>
    <tableColumn id="5" xr3:uid="{5E676862-9699-EA4E-AD9B-FFA5CA586416}" name="relationship_hap"/>
    <tableColumn id="6" xr3:uid="{42C4E68F-7C19-474F-B99B-671D1341EFE0}" name="gratitude"/>
    <tableColumn id="7" xr3:uid="{F8F205BC-5512-5246-A7A0-DC92FC6555C6}" name="energy"/>
    <tableColumn id="8" xr3:uid="{461F936F-B908-9A41-A950-19993E2EB7D6}" name="bounce_back"/>
    <tableColumn id="9" xr3:uid="{159A536A-4E57-C84D-A0CF-C5D93871A757}" name="meaning"/>
    <tableColumn id="1" xr3:uid="{46FBA768-32E6-814A-A652-F05DDDB6FA11}" name="overall_happiness" dataDxfId="2">
      <calculatedColumnFormula>AVERAGE(Form_Responses134[[#This Row],[curr_happiness]:[meaning]])</calculatedColumnFormula>
    </tableColumn>
    <tableColumn id="10" xr3:uid="{6CA58C90-AEF4-494A-8DE1-8D7B65778D1D}" name="sleep"/>
    <tableColumn id="11" xr3:uid="{25651D8B-2DC4-8C4B-8000-46873F88E43F}" name="working_out"/>
    <tableColumn id="12" xr3:uid="{328BE8EC-AD18-7B49-920E-2008BBD12238}" name="nature_exposure"/>
    <tableColumn id="13" xr3:uid="{CCA04EDE-DC1D-CC43-B610-B35E75748475}" name="like_your_work"/>
    <tableColumn id="14" xr3:uid="{E0CDA568-B4FE-D649-B568-217FF60651E4}" name="time_for_ff"/>
    <tableColumn id="15" xr3:uid="{83B8C5D0-56B5-584A-A226-AFD2FB1D87BE}" name="diet"/>
    <tableColumn id="16" xr3:uid="{AB24C6A1-B22C-A845-BDDE-D098C7D643DC}" name="balance"/>
    <tableColumn id="17" xr3:uid="{E5F462E7-0C88-5A42-A674-E34DC56B5033}" name="meditation"/>
    <tableColumn id="18" xr3:uid="{2C69484B-87D8-DE40-99C6-5A0B4B37E8BE}" name="health"/>
  </tableColumns>
  <tableStyleInfo name="Form Responses 1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72C2C46-726A-C941-A62E-36334061E688}" name="Form_Responses1345" displayName="Form_Responses1345" ref="A1:J20" headerRowDxfId="1">
  <tableColumns count="10">
    <tableColumn id="1" xr3:uid="{8E7F7353-D18B-0247-B3C7-C325B988F046}" name="overall_happiness" dataDxfId="0"/>
    <tableColumn id="10" xr3:uid="{940A640D-F7B6-A04D-9F50-8357C6CC8C23}" name="sleep"/>
    <tableColumn id="11" xr3:uid="{35320837-E5D1-D942-A74B-BDE531024181}" name="working_out"/>
    <tableColumn id="12" xr3:uid="{1787271B-0433-664C-A9B0-65CC022DDC3E}" name="nature_exposure"/>
    <tableColumn id="13" xr3:uid="{A5FBD17A-EF70-924B-B079-915248BDE275}" name="like_your_work"/>
    <tableColumn id="14" xr3:uid="{30304AE8-7A61-F141-B1DB-696A4FD62DF7}" name="time_for_ff"/>
    <tableColumn id="15" xr3:uid="{ADD38BF2-CC7B-6E48-AA64-44A09F47E03F}" name="diet"/>
    <tableColumn id="16" xr3:uid="{CE5B144B-5302-4044-871E-70FD0E50E889}" name="balance"/>
    <tableColumn id="17" xr3:uid="{0D31EB04-B36E-1946-A7D1-6B886E276CE1}" name="meditation"/>
    <tableColumn id="18" xr3:uid="{50AADE09-7112-E24F-9E74-D184B076FA49}" name="health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R21"/>
  <sheetViews>
    <sheetView workbookViewId="0">
      <pane ySplit="1" topLeftCell="A2" activePane="bottomLeft" state="frozen"/>
      <selection pane="bottomLeft" activeCell="F33" sqref="F33"/>
    </sheetView>
  </sheetViews>
  <sheetFormatPr baseColWidth="10" defaultColWidth="12.6640625" defaultRowHeight="15.75" customHeight="1" x14ac:dyDescent="0.15"/>
  <cols>
    <col min="1" max="1" width="18.83203125" customWidth="1"/>
    <col min="2" max="2" width="23.1640625" customWidth="1"/>
    <col min="3" max="3" width="19.1640625" customWidth="1"/>
    <col min="4" max="4" width="37.6640625" customWidth="1"/>
    <col min="5" max="5" width="33.5" customWidth="1"/>
    <col min="6" max="6" width="33.1640625" customWidth="1"/>
    <col min="7" max="7" width="37.6640625" customWidth="1"/>
    <col min="8" max="8" width="20.33203125" customWidth="1"/>
    <col min="9" max="9" width="24.33203125" customWidth="1"/>
    <col min="10" max="10" width="23.1640625" customWidth="1"/>
    <col min="11" max="11" width="32.33203125" customWidth="1"/>
    <col min="12" max="12" width="25.83203125" customWidth="1"/>
    <col min="13" max="13" width="23.33203125" customWidth="1"/>
    <col min="14" max="14" width="36.6640625" customWidth="1"/>
    <col min="15" max="15" width="22.6640625" customWidth="1"/>
    <col min="16" max="16" width="37.6640625" customWidth="1"/>
    <col min="17" max="17" width="34.5" customWidth="1"/>
    <col min="18" max="18" width="28" customWidth="1"/>
    <col min="19" max="24" width="18.83203125" customWidth="1"/>
  </cols>
  <sheetData>
    <row r="1" spans="1:18" ht="15.75" customHeight="1" x14ac:dyDescent="0.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 t="s">
        <v>17</v>
      </c>
    </row>
    <row r="2" spans="1:18" ht="15.75" customHeight="1" x14ac:dyDescent="0.15">
      <c r="A2" s="4">
        <v>45786.533789131943</v>
      </c>
      <c r="B2" s="5">
        <v>7</v>
      </c>
      <c r="C2" s="5">
        <v>8</v>
      </c>
      <c r="D2" s="5">
        <v>7</v>
      </c>
      <c r="E2" s="5">
        <v>1</v>
      </c>
      <c r="F2" s="5">
        <v>8</v>
      </c>
      <c r="G2" s="5">
        <v>7</v>
      </c>
      <c r="H2" s="5">
        <v>9</v>
      </c>
      <c r="I2" s="5">
        <v>5</v>
      </c>
      <c r="J2" s="5">
        <v>8</v>
      </c>
      <c r="K2" s="5">
        <v>1</v>
      </c>
      <c r="L2" s="5">
        <v>9</v>
      </c>
      <c r="M2" s="5">
        <v>8</v>
      </c>
      <c r="N2" s="5">
        <v>4</v>
      </c>
      <c r="O2" s="5">
        <v>4</v>
      </c>
      <c r="P2" s="5">
        <v>10</v>
      </c>
      <c r="Q2" s="5">
        <v>1</v>
      </c>
      <c r="R2" s="6">
        <v>9</v>
      </c>
    </row>
    <row r="3" spans="1:18" ht="15.75" customHeight="1" x14ac:dyDescent="0.15">
      <c r="A3" s="7">
        <v>45786.533864537036</v>
      </c>
      <c r="B3" s="8">
        <v>5</v>
      </c>
      <c r="C3" s="8">
        <v>7</v>
      </c>
      <c r="D3" s="8">
        <v>6</v>
      </c>
      <c r="E3" s="8">
        <v>1</v>
      </c>
      <c r="F3" s="8">
        <v>6</v>
      </c>
      <c r="G3" s="8">
        <v>3</v>
      </c>
      <c r="H3" s="8">
        <v>9</v>
      </c>
      <c r="I3" s="8">
        <v>8</v>
      </c>
      <c r="J3" s="8">
        <v>4</v>
      </c>
      <c r="K3" s="8">
        <v>8</v>
      </c>
      <c r="L3" s="8">
        <v>1</v>
      </c>
      <c r="M3" s="8">
        <v>7</v>
      </c>
      <c r="N3" s="8">
        <v>7</v>
      </c>
      <c r="O3" s="8">
        <v>7</v>
      </c>
      <c r="P3" s="8">
        <v>10</v>
      </c>
      <c r="Q3" s="8">
        <v>1</v>
      </c>
      <c r="R3" s="9">
        <v>10</v>
      </c>
    </row>
    <row r="4" spans="1:18" ht="15.75" customHeight="1" x14ac:dyDescent="0.15">
      <c r="A4" s="4">
        <v>45786.533887418977</v>
      </c>
      <c r="B4" s="5">
        <v>7</v>
      </c>
      <c r="C4" s="5">
        <v>8</v>
      </c>
      <c r="D4" s="5">
        <v>8</v>
      </c>
      <c r="E4" s="5">
        <v>5</v>
      </c>
      <c r="F4" s="5">
        <v>10</v>
      </c>
      <c r="G4" s="5">
        <v>8</v>
      </c>
      <c r="H4" s="5">
        <v>9</v>
      </c>
      <c r="I4" s="5">
        <v>8</v>
      </c>
      <c r="J4" s="5">
        <v>6</v>
      </c>
      <c r="K4" s="5">
        <v>3</v>
      </c>
      <c r="L4" s="5">
        <v>6</v>
      </c>
      <c r="M4" s="5">
        <v>8</v>
      </c>
      <c r="N4" s="5">
        <v>8</v>
      </c>
      <c r="O4" s="5">
        <v>7</v>
      </c>
      <c r="P4" s="5">
        <v>8</v>
      </c>
      <c r="Q4" s="5">
        <v>8</v>
      </c>
      <c r="R4" s="6">
        <v>7</v>
      </c>
    </row>
    <row r="5" spans="1:18" ht="15.75" customHeight="1" x14ac:dyDescent="0.15">
      <c r="A5" s="7">
        <v>45786.533990231481</v>
      </c>
      <c r="B5" s="8">
        <v>6</v>
      </c>
      <c r="C5" s="8">
        <v>5</v>
      </c>
      <c r="D5" s="8">
        <v>3</v>
      </c>
      <c r="E5" s="8">
        <v>1</v>
      </c>
      <c r="F5" s="8">
        <v>7</v>
      </c>
      <c r="G5" s="8">
        <v>5</v>
      </c>
      <c r="H5" s="8">
        <v>3</v>
      </c>
      <c r="I5" s="8">
        <v>7</v>
      </c>
      <c r="J5" s="8">
        <v>9</v>
      </c>
      <c r="K5" s="8">
        <v>1</v>
      </c>
      <c r="L5" s="8">
        <v>4</v>
      </c>
      <c r="M5" s="8">
        <v>8</v>
      </c>
      <c r="N5" s="8">
        <v>3</v>
      </c>
      <c r="O5" s="8">
        <v>1</v>
      </c>
      <c r="P5" s="8">
        <v>3</v>
      </c>
      <c r="Q5" s="8">
        <v>1</v>
      </c>
      <c r="R5" s="9">
        <v>3</v>
      </c>
    </row>
    <row r="6" spans="1:18" ht="15.75" customHeight="1" x14ac:dyDescent="0.15">
      <c r="A6" s="4">
        <v>45786.534052256946</v>
      </c>
      <c r="B6" s="5">
        <v>6</v>
      </c>
      <c r="C6" s="5">
        <v>7</v>
      </c>
      <c r="D6" s="5">
        <v>3</v>
      </c>
      <c r="E6" s="5">
        <v>1</v>
      </c>
      <c r="F6" s="5">
        <v>7</v>
      </c>
      <c r="G6" s="5">
        <v>5</v>
      </c>
      <c r="H6" s="5">
        <v>6</v>
      </c>
      <c r="I6" s="5">
        <v>3</v>
      </c>
      <c r="J6" s="5">
        <v>7</v>
      </c>
      <c r="K6" s="5">
        <v>1</v>
      </c>
      <c r="L6" s="5">
        <v>2</v>
      </c>
      <c r="M6" s="5">
        <v>6</v>
      </c>
      <c r="N6" s="5">
        <v>3</v>
      </c>
      <c r="O6" s="5">
        <v>5</v>
      </c>
      <c r="P6" s="5">
        <v>8</v>
      </c>
      <c r="Q6" s="5">
        <v>1</v>
      </c>
      <c r="R6" s="6"/>
    </row>
    <row r="7" spans="1:18" ht="15.75" customHeight="1" x14ac:dyDescent="0.15">
      <c r="A7" s="7">
        <v>45786.534170057872</v>
      </c>
      <c r="B7" s="8">
        <v>8</v>
      </c>
      <c r="C7" s="8">
        <v>8</v>
      </c>
      <c r="D7" s="8">
        <v>8</v>
      </c>
      <c r="E7" s="8">
        <v>9</v>
      </c>
      <c r="F7" s="8">
        <v>9</v>
      </c>
      <c r="G7" s="8">
        <v>8</v>
      </c>
      <c r="H7" s="8">
        <v>9</v>
      </c>
      <c r="I7" s="8">
        <v>10</v>
      </c>
      <c r="J7" s="8">
        <v>7</v>
      </c>
      <c r="K7" s="8">
        <v>7</v>
      </c>
      <c r="L7" s="8">
        <v>7</v>
      </c>
      <c r="M7" s="8">
        <v>7</v>
      </c>
      <c r="N7" s="8">
        <v>9</v>
      </c>
      <c r="O7" s="8">
        <v>8</v>
      </c>
      <c r="P7" s="8">
        <v>10</v>
      </c>
      <c r="Q7" s="8">
        <v>2</v>
      </c>
      <c r="R7" s="9">
        <v>10</v>
      </c>
    </row>
    <row r="8" spans="1:18" ht="15.75" customHeight="1" x14ac:dyDescent="0.15">
      <c r="A8" s="4">
        <v>45786.53427856481</v>
      </c>
      <c r="B8" s="5">
        <v>7</v>
      </c>
      <c r="C8" s="5">
        <v>8</v>
      </c>
      <c r="D8" s="5">
        <v>8</v>
      </c>
      <c r="E8" s="5">
        <v>1</v>
      </c>
      <c r="F8" s="5">
        <v>10</v>
      </c>
      <c r="G8" s="5">
        <v>8</v>
      </c>
      <c r="H8" s="5">
        <v>7</v>
      </c>
      <c r="I8" s="5">
        <v>10</v>
      </c>
      <c r="J8" s="5">
        <v>3</v>
      </c>
      <c r="K8" s="5">
        <v>9</v>
      </c>
      <c r="L8" s="5">
        <v>4</v>
      </c>
      <c r="M8" s="5">
        <v>7</v>
      </c>
      <c r="N8" s="5">
        <v>9</v>
      </c>
      <c r="O8" s="5">
        <v>5</v>
      </c>
      <c r="P8" s="5">
        <v>7</v>
      </c>
      <c r="Q8" s="5">
        <v>10</v>
      </c>
      <c r="R8" s="6">
        <v>9</v>
      </c>
    </row>
    <row r="9" spans="1:18" ht="15.75" customHeight="1" x14ac:dyDescent="0.15">
      <c r="A9" s="7">
        <v>45786.534511006947</v>
      </c>
      <c r="B9" s="8">
        <v>7</v>
      </c>
      <c r="C9" s="8">
        <v>8</v>
      </c>
      <c r="D9" s="8">
        <v>9</v>
      </c>
      <c r="E9" s="8">
        <v>1</v>
      </c>
      <c r="F9" s="8">
        <v>9</v>
      </c>
      <c r="G9" s="8">
        <v>10</v>
      </c>
      <c r="H9" s="8">
        <v>8</v>
      </c>
      <c r="I9" s="8">
        <v>10</v>
      </c>
      <c r="J9" s="8">
        <v>10</v>
      </c>
      <c r="K9" s="8">
        <v>9</v>
      </c>
      <c r="L9" s="8">
        <v>9</v>
      </c>
      <c r="M9" s="8">
        <v>10</v>
      </c>
      <c r="N9" s="8">
        <v>8</v>
      </c>
      <c r="O9" s="8">
        <v>9</v>
      </c>
      <c r="P9" s="8">
        <v>10</v>
      </c>
      <c r="Q9" s="8">
        <v>1</v>
      </c>
      <c r="R9" s="9">
        <v>8</v>
      </c>
    </row>
    <row r="10" spans="1:18" ht="15.75" customHeight="1" x14ac:dyDescent="0.15">
      <c r="A10" s="4">
        <v>45786.534726215279</v>
      </c>
      <c r="B10" s="5">
        <v>3</v>
      </c>
      <c r="C10" s="5">
        <v>6</v>
      </c>
      <c r="D10" s="5"/>
      <c r="E10" s="5">
        <v>5</v>
      </c>
      <c r="F10" s="5">
        <v>3</v>
      </c>
      <c r="G10" s="5">
        <v>4</v>
      </c>
      <c r="H10" s="5"/>
      <c r="I10" s="5"/>
      <c r="J10" s="5">
        <v>2</v>
      </c>
      <c r="K10" s="5">
        <v>4</v>
      </c>
      <c r="L10" s="5">
        <v>8</v>
      </c>
      <c r="M10" s="5">
        <v>1</v>
      </c>
      <c r="N10" s="5">
        <v>3</v>
      </c>
      <c r="O10" s="5">
        <v>3</v>
      </c>
      <c r="P10" s="5">
        <v>6</v>
      </c>
      <c r="Q10" s="5">
        <v>6</v>
      </c>
      <c r="R10" s="6">
        <v>6</v>
      </c>
    </row>
    <row r="11" spans="1:18" ht="15.75" customHeight="1" x14ac:dyDescent="0.15">
      <c r="A11" s="7">
        <v>45786.53486024306</v>
      </c>
      <c r="B11" s="8">
        <v>7</v>
      </c>
      <c r="C11" s="8">
        <v>8</v>
      </c>
      <c r="D11" s="8">
        <v>8</v>
      </c>
      <c r="E11" s="8">
        <v>7</v>
      </c>
      <c r="F11" s="8">
        <v>10</v>
      </c>
      <c r="G11" s="8">
        <v>9</v>
      </c>
      <c r="H11" s="8">
        <v>8</v>
      </c>
      <c r="I11" s="8">
        <v>9</v>
      </c>
      <c r="J11" s="8">
        <v>6</v>
      </c>
      <c r="K11" s="8">
        <v>7</v>
      </c>
      <c r="L11" s="8">
        <v>7</v>
      </c>
      <c r="M11" s="8">
        <v>5</v>
      </c>
      <c r="N11" s="8">
        <v>6</v>
      </c>
      <c r="O11" s="8">
        <v>5</v>
      </c>
      <c r="P11" s="8">
        <v>4</v>
      </c>
      <c r="Q11" s="8">
        <v>6</v>
      </c>
      <c r="R11" s="9">
        <v>7</v>
      </c>
    </row>
    <row r="12" spans="1:18" ht="15.75" customHeight="1" x14ac:dyDescent="0.15">
      <c r="A12" s="4">
        <v>45786.534992800924</v>
      </c>
      <c r="B12" s="5">
        <v>7</v>
      </c>
      <c r="C12" s="5">
        <v>5</v>
      </c>
      <c r="D12" s="5">
        <v>7</v>
      </c>
      <c r="E12" s="5">
        <v>9</v>
      </c>
      <c r="F12" s="5">
        <v>7</v>
      </c>
      <c r="G12" s="5">
        <v>10</v>
      </c>
      <c r="H12" s="5">
        <v>8</v>
      </c>
      <c r="I12" s="5">
        <v>10</v>
      </c>
      <c r="J12" s="5">
        <v>7</v>
      </c>
      <c r="K12" s="5">
        <v>1</v>
      </c>
      <c r="L12" s="5">
        <v>1</v>
      </c>
      <c r="M12" s="5">
        <v>10</v>
      </c>
      <c r="N12" s="5">
        <v>2</v>
      </c>
      <c r="O12" s="5">
        <v>10</v>
      </c>
      <c r="P12" s="5">
        <v>10</v>
      </c>
      <c r="Q12" s="5">
        <v>6</v>
      </c>
      <c r="R12" s="6">
        <v>10</v>
      </c>
    </row>
    <row r="13" spans="1:18" ht="15.75" customHeight="1" x14ac:dyDescent="0.15">
      <c r="A13" s="7">
        <v>45786.535115787032</v>
      </c>
      <c r="B13" s="8">
        <v>10</v>
      </c>
      <c r="C13" s="8">
        <v>10</v>
      </c>
      <c r="D13" s="8">
        <v>8</v>
      </c>
      <c r="E13" s="8">
        <v>10</v>
      </c>
      <c r="F13" s="8">
        <v>10</v>
      </c>
      <c r="G13" s="8">
        <v>8</v>
      </c>
      <c r="H13" s="8">
        <v>9</v>
      </c>
      <c r="I13" s="8">
        <v>10</v>
      </c>
      <c r="J13" s="8">
        <v>2</v>
      </c>
      <c r="K13" s="8">
        <v>1</v>
      </c>
      <c r="L13" s="8">
        <v>4</v>
      </c>
      <c r="M13" s="8">
        <v>8</v>
      </c>
      <c r="N13" s="8">
        <v>9</v>
      </c>
      <c r="O13" s="8">
        <v>7</v>
      </c>
      <c r="P13" s="8">
        <v>8</v>
      </c>
      <c r="Q13" s="8">
        <v>1</v>
      </c>
      <c r="R13" s="9">
        <v>9</v>
      </c>
    </row>
    <row r="14" spans="1:18" ht="15.75" customHeight="1" x14ac:dyDescent="0.15">
      <c r="A14" s="4">
        <v>45786.535413240737</v>
      </c>
      <c r="B14" s="5">
        <v>10</v>
      </c>
      <c r="C14" s="5">
        <v>9</v>
      </c>
      <c r="D14" s="5">
        <v>8</v>
      </c>
      <c r="E14" s="5">
        <v>10</v>
      </c>
      <c r="F14" s="5">
        <v>10</v>
      </c>
      <c r="G14" s="5">
        <v>8</v>
      </c>
      <c r="H14" s="5">
        <v>10</v>
      </c>
      <c r="I14" s="5">
        <v>10</v>
      </c>
      <c r="J14" s="5">
        <v>4</v>
      </c>
      <c r="K14" s="5">
        <v>10</v>
      </c>
      <c r="L14" s="5">
        <v>5</v>
      </c>
      <c r="M14" s="5">
        <v>10</v>
      </c>
      <c r="N14" s="5">
        <v>7</v>
      </c>
      <c r="O14" s="5">
        <v>5</v>
      </c>
      <c r="P14" s="5">
        <v>10</v>
      </c>
      <c r="Q14" s="5">
        <v>6</v>
      </c>
      <c r="R14" s="6">
        <v>10</v>
      </c>
    </row>
    <row r="15" spans="1:18" ht="15.75" customHeight="1" x14ac:dyDescent="0.15">
      <c r="A15" s="7">
        <v>45786.535539699078</v>
      </c>
      <c r="B15" s="8">
        <v>6</v>
      </c>
      <c r="C15" s="8">
        <v>8</v>
      </c>
      <c r="D15" s="8">
        <v>4</v>
      </c>
      <c r="E15" s="8">
        <v>10</v>
      </c>
      <c r="F15" s="8">
        <v>10</v>
      </c>
      <c r="G15" s="8">
        <v>5</v>
      </c>
      <c r="H15" s="8">
        <v>5</v>
      </c>
      <c r="I15" s="8">
        <v>8</v>
      </c>
      <c r="J15" s="8">
        <v>5</v>
      </c>
      <c r="K15" s="8">
        <v>6</v>
      </c>
      <c r="L15" s="8">
        <v>4</v>
      </c>
      <c r="M15" s="8">
        <v>5</v>
      </c>
      <c r="N15" s="8">
        <v>10</v>
      </c>
      <c r="O15" s="8">
        <v>5</v>
      </c>
      <c r="P15" s="8">
        <v>8</v>
      </c>
      <c r="Q15" s="8">
        <v>1</v>
      </c>
      <c r="R15" s="9">
        <v>5</v>
      </c>
    </row>
    <row r="16" spans="1:18" ht="15.75" customHeight="1" x14ac:dyDescent="0.15">
      <c r="A16" s="4">
        <v>45786.535916782406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6"/>
    </row>
    <row r="17" spans="1:18" ht="15.75" customHeight="1" x14ac:dyDescent="0.15">
      <c r="A17" s="7">
        <v>45786.535968055556</v>
      </c>
      <c r="B17" s="8">
        <v>4</v>
      </c>
      <c r="C17" s="8">
        <v>2</v>
      </c>
      <c r="D17" s="8">
        <v>1</v>
      </c>
      <c r="E17" s="8">
        <v>1</v>
      </c>
      <c r="F17" s="8">
        <v>1</v>
      </c>
      <c r="G17" s="8">
        <v>1</v>
      </c>
      <c r="H17" s="8">
        <v>1</v>
      </c>
      <c r="I17" s="8">
        <v>1</v>
      </c>
      <c r="J17" s="8">
        <v>2</v>
      </c>
      <c r="K17" s="8">
        <v>1</v>
      </c>
      <c r="L17" s="8">
        <v>1</v>
      </c>
      <c r="M17" s="8">
        <v>1</v>
      </c>
      <c r="N17" s="8">
        <v>1</v>
      </c>
      <c r="O17" s="8">
        <v>1</v>
      </c>
      <c r="P17" s="8">
        <v>1</v>
      </c>
      <c r="Q17" s="8">
        <v>1</v>
      </c>
      <c r="R17" s="9">
        <v>1</v>
      </c>
    </row>
    <row r="18" spans="1:18" ht="15.75" customHeight="1" x14ac:dyDescent="0.15">
      <c r="A18" s="4">
        <v>45786.535993148151</v>
      </c>
      <c r="B18" s="5">
        <v>10</v>
      </c>
      <c r="C18" s="5">
        <v>8</v>
      </c>
      <c r="D18" s="5">
        <v>7</v>
      </c>
      <c r="E18" s="5">
        <v>5</v>
      </c>
      <c r="F18" s="5">
        <v>8</v>
      </c>
      <c r="G18" s="5">
        <v>7</v>
      </c>
      <c r="H18" s="5">
        <v>6</v>
      </c>
      <c r="I18" s="5">
        <v>7</v>
      </c>
      <c r="J18" s="5">
        <v>7</v>
      </c>
      <c r="K18" s="5">
        <v>2</v>
      </c>
      <c r="L18" s="5">
        <v>3</v>
      </c>
      <c r="M18" s="5">
        <v>3</v>
      </c>
      <c r="N18" s="5">
        <v>4</v>
      </c>
      <c r="O18" s="5">
        <v>3</v>
      </c>
      <c r="P18" s="5">
        <v>4</v>
      </c>
      <c r="Q18" s="5">
        <v>1</v>
      </c>
      <c r="R18" s="6">
        <v>3</v>
      </c>
    </row>
    <row r="19" spans="1:18" ht="15.75" customHeight="1" x14ac:dyDescent="0.15">
      <c r="A19" s="7">
        <v>45786.536741793985</v>
      </c>
      <c r="B19" s="8">
        <v>9</v>
      </c>
      <c r="C19" s="8">
        <v>8</v>
      </c>
      <c r="D19" s="8">
        <v>6</v>
      </c>
      <c r="E19" s="8">
        <v>7</v>
      </c>
      <c r="F19" s="8">
        <v>8</v>
      </c>
      <c r="G19" s="8">
        <v>8</v>
      </c>
      <c r="H19" s="8">
        <v>9</v>
      </c>
      <c r="I19" s="8">
        <v>10</v>
      </c>
      <c r="J19" s="8">
        <v>9</v>
      </c>
      <c r="K19" s="8">
        <v>8</v>
      </c>
      <c r="L19" s="8"/>
      <c r="M19" s="8">
        <v>8</v>
      </c>
      <c r="N19" s="8">
        <v>9</v>
      </c>
      <c r="O19" s="8">
        <v>7</v>
      </c>
      <c r="P19" s="8">
        <v>9</v>
      </c>
      <c r="Q19" s="8">
        <v>8</v>
      </c>
      <c r="R19" s="9">
        <v>9</v>
      </c>
    </row>
    <row r="20" spans="1:18" ht="15.75" customHeight="1" x14ac:dyDescent="0.15">
      <c r="A20" s="4">
        <v>45786.536956875003</v>
      </c>
      <c r="B20" s="5">
        <v>8</v>
      </c>
      <c r="C20" s="5">
        <v>7</v>
      </c>
      <c r="D20" s="5">
        <v>4</v>
      </c>
      <c r="E20" s="5">
        <v>5</v>
      </c>
      <c r="F20" s="5">
        <v>9</v>
      </c>
      <c r="G20" s="5">
        <v>4</v>
      </c>
      <c r="H20" s="5">
        <v>7</v>
      </c>
      <c r="I20" s="5">
        <v>1</v>
      </c>
      <c r="J20" s="5">
        <v>3</v>
      </c>
      <c r="K20" s="5">
        <v>2</v>
      </c>
      <c r="L20" s="5">
        <v>3</v>
      </c>
      <c r="M20" s="5">
        <v>5</v>
      </c>
      <c r="N20" s="5">
        <v>5</v>
      </c>
      <c r="O20" s="5">
        <v>3</v>
      </c>
      <c r="P20" s="5">
        <v>5</v>
      </c>
      <c r="Q20" s="5">
        <v>1</v>
      </c>
      <c r="R20" s="6">
        <v>5</v>
      </c>
    </row>
    <row r="21" spans="1:18" ht="15.75" customHeight="1" x14ac:dyDescent="0.15">
      <c r="A21" s="10">
        <v>45786.538098518518</v>
      </c>
      <c r="B21" s="11">
        <v>8</v>
      </c>
      <c r="C21" s="11">
        <v>10</v>
      </c>
      <c r="D21" s="11">
        <v>10</v>
      </c>
      <c r="E21" s="11">
        <v>10</v>
      </c>
      <c r="F21" s="11">
        <v>10</v>
      </c>
      <c r="G21" s="11">
        <v>6</v>
      </c>
      <c r="H21" s="11">
        <v>8</v>
      </c>
      <c r="I21" s="11">
        <v>10</v>
      </c>
      <c r="J21" s="11">
        <v>5</v>
      </c>
      <c r="K21" s="11">
        <v>7</v>
      </c>
      <c r="L21" s="11">
        <v>7</v>
      </c>
      <c r="M21" s="11">
        <v>8</v>
      </c>
      <c r="N21" s="11">
        <v>6</v>
      </c>
      <c r="O21" s="11">
        <v>5</v>
      </c>
      <c r="P21" s="11">
        <v>8</v>
      </c>
      <c r="Q21" s="11">
        <v>1</v>
      </c>
      <c r="R21" s="12">
        <v>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ACA77-2260-F248-9F29-B2A8A0D75DB5}">
  <sheetPr>
    <outlinePr summaryBelow="0" summaryRight="0"/>
  </sheetPr>
  <dimension ref="A1:Q41"/>
  <sheetViews>
    <sheetView zoomScale="130" zoomScaleNormal="130" workbookViewId="0">
      <pane ySplit="1" topLeftCell="A10" activePane="bottomLeft" state="frozen"/>
      <selection pane="bottomLeft" activeCell="A38" sqref="A38"/>
    </sheetView>
  </sheetViews>
  <sheetFormatPr baseColWidth="10" defaultColWidth="12.6640625" defaultRowHeight="15.75" customHeight="1" x14ac:dyDescent="0.15"/>
  <cols>
    <col min="1" max="1" width="23.1640625" customWidth="1"/>
    <col min="2" max="2" width="48" bestFit="1" customWidth="1"/>
    <col min="3" max="3" width="37.6640625" customWidth="1"/>
    <col min="4" max="4" width="33.5" customWidth="1"/>
    <col min="5" max="5" width="33.1640625" customWidth="1"/>
    <col min="6" max="6" width="37.6640625" customWidth="1"/>
    <col min="7" max="7" width="20.33203125" customWidth="1"/>
    <col min="8" max="8" width="24.33203125" customWidth="1"/>
    <col min="9" max="9" width="23.1640625" customWidth="1"/>
    <col min="10" max="10" width="32.33203125" customWidth="1"/>
    <col min="11" max="11" width="25.83203125" customWidth="1"/>
    <col min="12" max="12" width="23.33203125" customWidth="1"/>
    <col min="13" max="13" width="36.6640625" customWidth="1"/>
    <col min="14" max="14" width="22.6640625" customWidth="1"/>
    <col min="15" max="15" width="37.6640625" customWidth="1"/>
    <col min="16" max="16" width="34.5" customWidth="1"/>
    <col min="17" max="17" width="28" customWidth="1"/>
    <col min="18" max="23" width="18.83203125" customWidth="1"/>
  </cols>
  <sheetData>
    <row r="1" spans="1:17" s="15" customFormat="1" ht="15.75" customHeight="1" x14ac:dyDescent="0.15">
      <c r="A1" s="13" t="s">
        <v>1</v>
      </c>
      <c r="B1" s="13" t="s">
        <v>2</v>
      </c>
      <c r="C1" s="13" t="s">
        <v>3</v>
      </c>
      <c r="D1" s="13" t="s">
        <v>4</v>
      </c>
      <c r="E1" s="13" t="s">
        <v>5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12</v>
      </c>
      <c r="M1" s="13" t="s">
        <v>13</v>
      </c>
      <c r="N1" s="13" t="s">
        <v>14</v>
      </c>
      <c r="O1" s="13" t="s">
        <v>15</v>
      </c>
      <c r="P1" s="13" t="s">
        <v>16</v>
      </c>
      <c r="Q1" s="14" t="s">
        <v>17</v>
      </c>
    </row>
    <row r="2" spans="1:17" ht="15.75" customHeight="1" x14ac:dyDescent="0.15">
      <c r="A2" s="5">
        <v>7</v>
      </c>
      <c r="B2" s="5">
        <v>8</v>
      </c>
      <c r="C2" s="5">
        <v>7</v>
      </c>
      <c r="D2" s="5">
        <v>1</v>
      </c>
      <c r="E2" s="5">
        <v>8</v>
      </c>
      <c r="F2" s="5">
        <v>7</v>
      </c>
      <c r="G2" s="5">
        <v>9</v>
      </c>
      <c r="H2" s="5">
        <v>5</v>
      </c>
      <c r="I2" s="5">
        <v>8</v>
      </c>
      <c r="J2" s="5">
        <v>1</v>
      </c>
      <c r="K2" s="5">
        <v>9</v>
      </c>
      <c r="L2" s="5">
        <v>8</v>
      </c>
      <c r="M2" s="5">
        <v>4</v>
      </c>
      <c r="N2" s="5">
        <v>4</v>
      </c>
      <c r="O2" s="5">
        <v>10</v>
      </c>
      <c r="P2" s="5">
        <v>1</v>
      </c>
      <c r="Q2" s="6">
        <v>9</v>
      </c>
    </row>
    <row r="3" spans="1:17" ht="15.75" customHeight="1" x14ac:dyDescent="0.15">
      <c r="A3" s="8">
        <v>5</v>
      </c>
      <c r="B3" s="8">
        <v>7</v>
      </c>
      <c r="C3" s="8">
        <v>6</v>
      </c>
      <c r="D3" s="8">
        <v>1</v>
      </c>
      <c r="E3" s="8">
        <v>6</v>
      </c>
      <c r="F3" s="8">
        <v>3</v>
      </c>
      <c r="G3" s="8">
        <v>9</v>
      </c>
      <c r="H3" s="8">
        <v>8</v>
      </c>
      <c r="I3" s="8">
        <v>4</v>
      </c>
      <c r="J3" s="8">
        <v>8</v>
      </c>
      <c r="K3" s="8">
        <v>1</v>
      </c>
      <c r="L3" s="8">
        <v>7</v>
      </c>
      <c r="M3" s="8">
        <v>7</v>
      </c>
      <c r="N3" s="8">
        <v>7</v>
      </c>
      <c r="O3" s="8">
        <v>10</v>
      </c>
      <c r="P3" s="8">
        <v>1</v>
      </c>
      <c r="Q3" s="9">
        <v>10</v>
      </c>
    </row>
    <row r="4" spans="1:17" ht="15.75" customHeight="1" x14ac:dyDescent="0.15">
      <c r="A4" s="5">
        <v>7</v>
      </c>
      <c r="B4" s="5">
        <v>8</v>
      </c>
      <c r="C4" s="5">
        <v>8</v>
      </c>
      <c r="D4" s="5">
        <v>5</v>
      </c>
      <c r="E4" s="5">
        <v>10</v>
      </c>
      <c r="F4" s="5">
        <v>8</v>
      </c>
      <c r="G4" s="5">
        <v>9</v>
      </c>
      <c r="H4" s="5">
        <v>8</v>
      </c>
      <c r="I4" s="5">
        <v>6</v>
      </c>
      <c r="J4" s="5">
        <v>3</v>
      </c>
      <c r="K4" s="5">
        <v>6</v>
      </c>
      <c r="L4" s="5">
        <v>8</v>
      </c>
      <c r="M4" s="5">
        <v>8</v>
      </c>
      <c r="N4" s="5">
        <v>7</v>
      </c>
      <c r="O4" s="5">
        <v>8</v>
      </c>
      <c r="P4" s="5">
        <v>8</v>
      </c>
      <c r="Q4" s="6">
        <v>7</v>
      </c>
    </row>
    <row r="5" spans="1:17" ht="15.75" customHeight="1" x14ac:dyDescent="0.15">
      <c r="A5" s="8">
        <v>6</v>
      </c>
      <c r="B5" s="8">
        <v>5</v>
      </c>
      <c r="C5" s="8">
        <v>3</v>
      </c>
      <c r="D5" s="8">
        <v>1</v>
      </c>
      <c r="E5" s="8">
        <v>7</v>
      </c>
      <c r="F5" s="8">
        <v>5</v>
      </c>
      <c r="G5" s="8">
        <v>3</v>
      </c>
      <c r="H5" s="8">
        <v>7</v>
      </c>
      <c r="I5" s="8">
        <v>9</v>
      </c>
      <c r="J5" s="8">
        <v>1</v>
      </c>
      <c r="K5" s="8">
        <v>4</v>
      </c>
      <c r="L5" s="8">
        <v>8</v>
      </c>
      <c r="M5" s="8">
        <v>3</v>
      </c>
      <c r="N5" s="8">
        <v>1</v>
      </c>
      <c r="O5" s="8">
        <v>3</v>
      </c>
      <c r="P5" s="8">
        <v>1</v>
      </c>
      <c r="Q5" s="9">
        <v>3</v>
      </c>
    </row>
    <row r="6" spans="1:17" ht="15.75" customHeight="1" x14ac:dyDescent="0.15">
      <c r="A6" s="5">
        <v>6</v>
      </c>
      <c r="B6" s="5">
        <v>7</v>
      </c>
      <c r="C6" s="5">
        <v>3</v>
      </c>
      <c r="D6" s="5">
        <v>1</v>
      </c>
      <c r="E6" s="5">
        <v>7</v>
      </c>
      <c r="F6" s="5">
        <v>5</v>
      </c>
      <c r="G6" s="5">
        <v>6</v>
      </c>
      <c r="H6" s="5">
        <v>3</v>
      </c>
      <c r="I6" s="5">
        <v>7</v>
      </c>
      <c r="J6" s="5">
        <v>1</v>
      </c>
      <c r="K6" s="5">
        <v>2</v>
      </c>
      <c r="L6" s="5">
        <v>6</v>
      </c>
      <c r="M6" s="5">
        <v>3</v>
      </c>
      <c r="N6" s="5">
        <v>5</v>
      </c>
      <c r="O6" s="5">
        <v>8</v>
      </c>
      <c r="P6" s="5">
        <v>1</v>
      </c>
      <c r="Q6" s="6">
        <v>5</v>
      </c>
    </row>
    <row r="7" spans="1:17" ht="15.75" customHeight="1" x14ac:dyDescent="0.15">
      <c r="A7" s="8">
        <v>8</v>
      </c>
      <c r="B7" s="8">
        <v>8</v>
      </c>
      <c r="C7" s="8">
        <v>8</v>
      </c>
      <c r="D7" s="8">
        <v>9</v>
      </c>
      <c r="E7" s="8">
        <v>9</v>
      </c>
      <c r="F7" s="8">
        <v>8</v>
      </c>
      <c r="G7" s="8">
        <v>9</v>
      </c>
      <c r="H7" s="8">
        <v>10</v>
      </c>
      <c r="I7" s="8">
        <v>7</v>
      </c>
      <c r="J7" s="8">
        <v>7</v>
      </c>
      <c r="K7" s="8">
        <v>7</v>
      </c>
      <c r="L7" s="8">
        <v>7</v>
      </c>
      <c r="M7" s="8">
        <v>9</v>
      </c>
      <c r="N7" s="8">
        <v>8</v>
      </c>
      <c r="O7" s="8">
        <v>10</v>
      </c>
      <c r="P7" s="8">
        <v>2</v>
      </c>
      <c r="Q7" s="9">
        <v>10</v>
      </c>
    </row>
    <row r="8" spans="1:17" ht="15.75" customHeight="1" x14ac:dyDescent="0.15">
      <c r="A8" s="5">
        <v>7</v>
      </c>
      <c r="B8" s="5">
        <v>8</v>
      </c>
      <c r="C8" s="5">
        <v>8</v>
      </c>
      <c r="D8" s="5">
        <v>1</v>
      </c>
      <c r="E8" s="5">
        <v>10</v>
      </c>
      <c r="F8" s="5">
        <v>8</v>
      </c>
      <c r="G8" s="5">
        <v>7</v>
      </c>
      <c r="H8" s="5">
        <v>10</v>
      </c>
      <c r="I8" s="5">
        <v>3</v>
      </c>
      <c r="J8" s="5">
        <v>9</v>
      </c>
      <c r="K8" s="5">
        <v>4</v>
      </c>
      <c r="L8" s="5">
        <v>7</v>
      </c>
      <c r="M8" s="5">
        <v>9</v>
      </c>
      <c r="N8" s="5">
        <v>5</v>
      </c>
      <c r="O8" s="5">
        <v>7</v>
      </c>
      <c r="P8" s="5">
        <v>10</v>
      </c>
      <c r="Q8" s="6">
        <v>9</v>
      </c>
    </row>
    <row r="9" spans="1:17" ht="15.75" customHeight="1" x14ac:dyDescent="0.15">
      <c r="A9" s="8">
        <v>7</v>
      </c>
      <c r="B9" s="8">
        <v>8</v>
      </c>
      <c r="C9" s="8">
        <v>9</v>
      </c>
      <c r="D9" s="8">
        <v>1</v>
      </c>
      <c r="E9" s="8">
        <v>9</v>
      </c>
      <c r="F9" s="8">
        <v>10</v>
      </c>
      <c r="G9" s="8">
        <v>8</v>
      </c>
      <c r="H9" s="8">
        <v>10</v>
      </c>
      <c r="I9" s="8">
        <v>10</v>
      </c>
      <c r="J9" s="8">
        <v>9</v>
      </c>
      <c r="K9" s="8">
        <v>9</v>
      </c>
      <c r="L9" s="8">
        <v>10</v>
      </c>
      <c r="M9" s="8">
        <v>8</v>
      </c>
      <c r="N9" s="8">
        <v>9</v>
      </c>
      <c r="O9" s="8">
        <v>10</v>
      </c>
      <c r="P9" s="8">
        <v>1</v>
      </c>
      <c r="Q9" s="9">
        <v>8</v>
      </c>
    </row>
    <row r="10" spans="1:17" ht="15.75" customHeight="1" x14ac:dyDescent="0.15">
      <c r="A10" s="5">
        <v>3</v>
      </c>
      <c r="B10" s="5">
        <v>6</v>
      </c>
      <c r="C10" s="5">
        <v>5</v>
      </c>
      <c r="D10" s="5">
        <v>5</v>
      </c>
      <c r="E10" s="5">
        <v>3</v>
      </c>
      <c r="F10" s="5">
        <v>4</v>
      </c>
      <c r="G10" s="5">
        <v>5</v>
      </c>
      <c r="H10" s="5">
        <v>5</v>
      </c>
      <c r="I10" s="5">
        <v>2</v>
      </c>
      <c r="J10" s="5">
        <v>4</v>
      </c>
      <c r="K10" s="5">
        <v>8</v>
      </c>
      <c r="L10" s="5">
        <v>1</v>
      </c>
      <c r="M10" s="5">
        <v>3</v>
      </c>
      <c r="N10" s="5">
        <v>3</v>
      </c>
      <c r="O10" s="5">
        <v>6</v>
      </c>
      <c r="P10" s="5">
        <v>6</v>
      </c>
      <c r="Q10" s="6">
        <v>6</v>
      </c>
    </row>
    <row r="11" spans="1:17" ht="15.75" customHeight="1" x14ac:dyDescent="0.15">
      <c r="A11" s="8">
        <v>7</v>
      </c>
      <c r="B11" s="8">
        <v>8</v>
      </c>
      <c r="C11" s="8">
        <v>8</v>
      </c>
      <c r="D11" s="8">
        <v>7</v>
      </c>
      <c r="E11" s="8">
        <v>10</v>
      </c>
      <c r="F11" s="8">
        <v>9</v>
      </c>
      <c r="G11" s="8">
        <v>8</v>
      </c>
      <c r="H11" s="8">
        <v>9</v>
      </c>
      <c r="I11" s="8">
        <v>6</v>
      </c>
      <c r="J11" s="8">
        <v>7</v>
      </c>
      <c r="K11" s="8">
        <v>7</v>
      </c>
      <c r="L11" s="8">
        <v>5</v>
      </c>
      <c r="M11" s="8">
        <v>6</v>
      </c>
      <c r="N11" s="8">
        <v>5</v>
      </c>
      <c r="O11" s="8">
        <v>4</v>
      </c>
      <c r="P11" s="8">
        <v>6</v>
      </c>
      <c r="Q11" s="9">
        <v>7</v>
      </c>
    </row>
    <row r="12" spans="1:17" ht="15.75" customHeight="1" x14ac:dyDescent="0.15">
      <c r="A12" s="5">
        <v>7</v>
      </c>
      <c r="B12" s="5">
        <v>5</v>
      </c>
      <c r="C12" s="5">
        <v>7</v>
      </c>
      <c r="D12" s="5">
        <v>9</v>
      </c>
      <c r="E12" s="5">
        <v>7</v>
      </c>
      <c r="F12" s="5">
        <v>10</v>
      </c>
      <c r="G12" s="5">
        <v>8</v>
      </c>
      <c r="H12" s="5">
        <v>10</v>
      </c>
      <c r="I12" s="5">
        <v>7</v>
      </c>
      <c r="J12" s="5">
        <v>1</v>
      </c>
      <c r="K12" s="5">
        <v>1</v>
      </c>
      <c r="L12" s="5">
        <v>10</v>
      </c>
      <c r="M12" s="5">
        <v>2</v>
      </c>
      <c r="N12" s="5">
        <v>10</v>
      </c>
      <c r="O12" s="5">
        <v>10</v>
      </c>
      <c r="P12" s="5">
        <v>6</v>
      </c>
      <c r="Q12" s="6">
        <v>10</v>
      </c>
    </row>
    <row r="13" spans="1:17" ht="15.75" customHeight="1" x14ac:dyDescent="0.15">
      <c r="A13" s="8">
        <v>10</v>
      </c>
      <c r="B13" s="8">
        <v>10</v>
      </c>
      <c r="C13" s="8">
        <v>8</v>
      </c>
      <c r="D13" s="8">
        <v>10</v>
      </c>
      <c r="E13" s="8">
        <v>10</v>
      </c>
      <c r="F13" s="8">
        <v>8</v>
      </c>
      <c r="G13" s="8">
        <v>9</v>
      </c>
      <c r="H13" s="8">
        <v>10</v>
      </c>
      <c r="I13" s="8">
        <v>2</v>
      </c>
      <c r="J13" s="8">
        <v>1</v>
      </c>
      <c r="K13" s="8">
        <v>4</v>
      </c>
      <c r="L13" s="8">
        <v>8</v>
      </c>
      <c r="M13" s="8">
        <v>9</v>
      </c>
      <c r="N13" s="8">
        <v>7</v>
      </c>
      <c r="O13" s="8">
        <v>8</v>
      </c>
      <c r="P13" s="8">
        <v>1</v>
      </c>
      <c r="Q13" s="9">
        <v>9</v>
      </c>
    </row>
    <row r="14" spans="1:17" ht="15.75" customHeight="1" x14ac:dyDescent="0.15">
      <c r="A14" s="5">
        <v>10</v>
      </c>
      <c r="B14" s="5">
        <v>9</v>
      </c>
      <c r="C14" s="5">
        <v>8</v>
      </c>
      <c r="D14" s="5">
        <v>10</v>
      </c>
      <c r="E14" s="5">
        <v>10</v>
      </c>
      <c r="F14" s="5">
        <v>8</v>
      </c>
      <c r="G14" s="5">
        <v>10</v>
      </c>
      <c r="H14" s="5">
        <v>10</v>
      </c>
      <c r="I14" s="5">
        <v>4</v>
      </c>
      <c r="J14" s="5">
        <v>10</v>
      </c>
      <c r="K14" s="5">
        <v>5</v>
      </c>
      <c r="L14" s="5">
        <v>10</v>
      </c>
      <c r="M14" s="5">
        <v>7</v>
      </c>
      <c r="N14" s="5">
        <v>5</v>
      </c>
      <c r="O14" s="5">
        <v>10</v>
      </c>
      <c r="P14" s="5">
        <v>6</v>
      </c>
      <c r="Q14" s="6">
        <v>10</v>
      </c>
    </row>
    <row r="15" spans="1:17" ht="15.75" customHeight="1" x14ac:dyDescent="0.15">
      <c r="A15" s="8">
        <v>6</v>
      </c>
      <c r="B15" s="8">
        <v>8</v>
      </c>
      <c r="C15" s="8">
        <v>4</v>
      </c>
      <c r="D15" s="8">
        <v>10</v>
      </c>
      <c r="E15" s="8">
        <v>10</v>
      </c>
      <c r="F15" s="8">
        <v>5</v>
      </c>
      <c r="G15" s="8">
        <v>5</v>
      </c>
      <c r="H15" s="8">
        <v>8</v>
      </c>
      <c r="I15" s="8">
        <v>5</v>
      </c>
      <c r="J15" s="8">
        <v>6</v>
      </c>
      <c r="K15" s="8">
        <v>4</v>
      </c>
      <c r="L15" s="8">
        <v>5</v>
      </c>
      <c r="M15" s="8">
        <v>10</v>
      </c>
      <c r="N15" s="8">
        <v>5</v>
      </c>
      <c r="O15" s="8">
        <v>8</v>
      </c>
      <c r="P15" s="8">
        <v>1</v>
      </c>
      <c r="Q15" s="9">
        <v>5</v>
      </c>
    </row>
    <row r="16" spans="1:17" ht="15.75" customHeight="1" x14ac:dyDescent="0.15">
      <c r="A16" s="8">
        <v>4</v>
      </c>
      <c r="B16" s="8">
        <v>2</v>
      </c>
      <c r="C16" s="8">
        <v>1</v>
      </c>
      <c r="D16" s="8">
        <v>1</v>
      </c>
      <c r="E16" s="8">
        <v>1</v>
      </c>
      <c r="F16" s="8">
        <v>1</v>
      </c>
      <c r="G16" s="8">
        <v>1</v>
      </c>
      <c r="H16" s="8">
        <v>1</v>
      </c>
      <c r="I16" s="8">
        <v>2</v>
      </c>
      <c r="J16" s="8">
        <v>1</v>
      </c>
      <c r="K16" s="8">
        <v>1</v>
      </c>
      <c r="L16" s="8">
        <v>1</v>
      </c>
      <c r="M16" s="8">
        <v>1</v>
      </c>
      <c r="N16" s="8">
        <v>1</v>
      </c>
      <c r="O16" s="8">
        <v>1</v>
      </c>
      <c r="P16" s="8">
        <v>1</v>
      </c>
      <c r="Q16" s="9">
        <v>1</v>
      </c>
    </row>
    <row r="17" spans="1:17" ht="15.75" customHeight="1" x14ac:dyDescent="0.15">
      <c r="A17" s="5">
        <v>10</v>
      </c>
      <c r="B17" s="5">
        <v>8</v>
      </c>
      <c r="C17" s="5">
        <v>7</v>
      </c>
      <c r="D17" s="5">
        <v>5</v>
      </c>
      <c r="E17" s="5">
        <v>8</v>
      </c>
      <c r="F17" s="5">
        <v>7</v>
      </c>
      <c r="G17" s="5">
        <v>6</v>
      </c>
      <c r="H17" s="5">
        <v>7</v>
      </c>
      <c r="I17" s="5">
        <v>7</v>
      </c>
      <c r="J17" s="5">
        <v>2</v>
      </c>
      <c r="K17" s="5">
        <v>3</v>
      </c>
      <c r="L17" s="5">
        <v>3</v>
      </c>
      <c r="M17" s="5">
        <v>4</v>
      </c>
      <c r="N17" s="5">
        <v>3</v>
      </c>
      <c r="O17" s="5">
        <v>4</v>
      </c>
      <c r="P17" s="5">
        <v>1</v>
      </c>
      <c r="Q17" s="6">
        <v>3</v>
      </c>
    </row>
    <row r="18" spans="1:17" ht="15.75" customHeight="1" x14ac:dyDescent="0.15">
      <c r="A18" s="8">
        <v>9</v>
      </c>
      <c r="B18" s="8">
        <v>8</v>
      </c>
      <c r="C18" s="8">
        <v>6</v>
      </c>
      <c r="D18" s="8">
        <v>7</v>
      </c>
      <c r="E18" s="8">
        <v>8</v>
      </c>
      <c r="F18" s="8">
        <v>8</v>
      </c>
      <c r="G18" s="8">
        <v>9</v>
      </c>
      <c r="H18" s="8">
        <v>10</v>
      </c>
      <c r="I18" s="8">
        <v>9</v>
      </c>
      <c r="J18" s="8">
        <v>8</v>
      </c>
      <c r="K18" s="8">
        <v>5</v>
      </c>
      <c r="L18" s="8">
        <v>8</v>
      </c>
      <c r="M18" s="8">
        <v>9</v>
      </c>
      <c r="N18" s="8">
        <v>7</v>
      </c>
      <c r="O18" s="8">
        <v>9</v>
      </c>
      <c r="P18" s="8">
        <v>8</v>
      </c>
      <c r="Q18" s="9">
        <v>9</v>
      </c>
    </row>
    <row r="19" spans="1:17" ht="15.75" customHeight="1" x14ac:dyDescent="0.15">
      <c r="A19" s="5">
        <v>8</v>
      </c>
      <c r="B19" s="5">
        <v>7</v>
      </c>
      <c r="C19" s="5">
        <v>4</v>
      </c>
      <c r="D19" s="5">
        <v>5</v>
      </c>
      <c r="E19" s="5">
        <v>9</v>
      </c>
      <c r="F19" s="5">
        <v>4</v>
      </c>
      <c r="G19" s="5">
        <v>7</v>
      </c>
      <c r="H19" s="5">
        <v>1</v>
      </c>
      <c r="I19" s="5">
        <v>3</v>
      </c>
      <c r="J19" s="5">
        <v>2</v>
      </c>
      <c r="K19" s="5">
        <v>3</v>
      </c>
      <c r="L19" s="5">
        <v>5</v>
      </c>
      <c r="M19" s="5">
        <v>5</v>
      </c>
      <c r="N19" s="5">
        <v>3</v>
      </c>
      <c r="O19" s="5">
        <v>5</v>
      </c>
      <c r="P19" s="5">
        <v>1</v>
      </c>
      <c r="Q19" s="6">
        <v>5</v>
      </c>
    </row>
    <row r="20" spans="1:17" ht="15.75" customHeight="1" x14ac:dyDescent="0.15">
      <c r="A20" s="11">
        <v>8</v>
      </c>
      <c r="B20" s="11">
        <v>10</v>
      </c>
      <c r="C20" s="11">
        <v>10</v>
      </c>
      <c r="D20" s="11">
        <v>10</v>
      </c>
      <c r="E20" s="11">
        <v>10</v>
      </c>
      <c r="F20" s="11">
        <v>6</v>
      </c>
      <c r="G20" s="11">
        <v>8</v>
      </c>
      <c r="H20" s="11">
        <v>10</v>
      </c>
      <c r="I20" s="11">
        <v>5</v>
      </c>
      <c r="J20" s="11">
        <v>7</v>
      </c>
      <c r="K20" s="11">
        <v>7</v>
      </c>
      <c r="L20" s="11">
        <v>8</v>
      </c>
      <c r="M20" s="11">
        <v>6</v>
      </c>
      <c r="N20" s="11">
        <v>5</v>
      </c>
      <c r="O20" s="11">
        <v>8</v>
      </c>
      <c r="P20" s="11">
        <v>1</v>
      </c>
      <c r="Q20" s="12">
        <v>7</v>
      </c>
    </row>
    <row r="22" spans="1:17" ht="15.75" customHeight="1" x14ac:dyDescent="0.15">
      <c r="A22">
        <f>COUNT(Form_Responses13[עד כמה אתה מרוצה מחייך כרגע])</f>
        <v>19</v>
      </c>
      <c r="B22">
        <f>COUNT(Form_Responses13[כמה אתה מחייך בכל יום])</f>
        <v>19</v>
      </c>
      <c r="C22">
        <f>COUNT(Form_Responses13[האם כשאתה קם/ה בבוקר אתה מלא ציפייה לקראת היום שבפניך?])</f>
        <v>19</v>
      </c>
      <c r="D22">
        <f>COUNT(Form_Responses13[עד כמה אתה מרוצה ממערכת היחסים הזוגית שלך?])</f>
        <v>19</v>
      </c>
      <c r="E22">
        <f>COUNT(Form_Responses13[האם אתה מרגיש הוקרת תודה על הדברים שיש לך?])</f>
        <v>19</v>
      </c>
      <c r="F22">
        <f>COUNT(Form_Responses13[עד כמה אתה מרגיש מלא אנרגיה לבצע פעילויות שאתה צריך?])</f>
        <v>19</v>
      </c>
      <c r="G22">
        <f>COUNT(Form_Responses13[אני מתאושש מהר ממשברים])</f>
        <v>19</v>
      </c>
      <c r="H22">
        <f>COUNT(Form_Responses13[אני מרגיש תחושת משמעות בחיים])</f>
        <v>19</v>
      </c>
      <c r="I22">
        <f>COUNT(Form_Responses13[האם אתה ישן הרבה שעות בלילה])</f>
        <v>19</v>
      </c>
      <c r="J22">
        <f>COUNT(Form_Responses13[האם אתה טוחן חדר כושר ופעילות ספורטיבית?])</f>
        <v>19</v>
      </c>
      <c r="K22">
        <f>COUNT(Form_Responses13[האם אתה מבלה זמן רב בחוץ ובטבע?])</f>
        <v>19</v>
      </c>
      <c r="L22">
        <f>COUNT(Form_Responses13[האם אתה אוהב את העבודה שלך?])</f>
        <v>19</v>
      </c>
      <c r="M22">
        <f>COUNT(Form_Responses13[האם נכון לומר שאתה מקדיש זמן רב לחברים ולמשפחה?])</f>
        <v>19</v>
      </c>
      <c r="N22">
        <f>COUNT(Form_Responses13[איך הית מתאר את הדיאטה שלך])</f>
        <v>19</v>
      </c>
      <c r="O22">
        <f>COUNT(Form_Responses13[האם החיים שלך מאוזנים מבחינת הפרדה ושילוב של עבודה וחיים אישיים])</f>
        <v>19</v>
      </c>
      <c r="P22">
        <f>COUNT(Form_Responses13[עד כמה אתה מבצע מדיטציה ותרגילי מיינדפולנס?])</f>
        <v>19</v>
      </c>
      <c r="Q22">
        <f>COUNT(Form_Responses13[עד כמה אתה מרגיש בריא פיזית ונפשית])</f>
        <v>19</v>
      </c>
    </row>
    <row r="25" spans="1:17" ht="15.75" customHeight="1" x14ac:dyDescent="0.15">
      <c r="B25" s="16" t="s">
        <v>1</v>
      </c>
      <c r="C25" s="18" t="s">
        <v>18</v>
      </c>
    </row>
    <row r="26" spans="1:17" ht="15.75" customHeight="1" x14ac:dyDescent="0.15">
      <c r="B26" s="16" t="s">
        <v>2</v>
      </c>
      <c r="C26" s="18" t="s">
        <v>19</v>
      </c>
    </row>
    <row r="27" spans="1:17" ht="15.75" customHeight="1" x14ac:dyDescent="0.15">
      <c r="B27" s="16" t="s">
        <v>3</v>
      </c>
      <c r="C27" s="18" t="s">
        <v>20</v>
      </c>
    </row>
    <row r="28" spans="1:17" ht="15.75" customHeight="1" x14ac:dyDescent="0.15">
      <c r="B28" s="16" t="s">
        <v>4</v>
      </c>
      <c r="C28" s="19" t="s">
        <v>21</v>
      </c>
    </row>
    <row r="29" spans="1:17" ht="15.75" customHeight="1" x14ac:dyDescent="0.15">
      <c r="B29" s="16" t="s">
        <v>5</v>
      </c>
      <c r="C29" s="19" t="s">
        <v>22</v>
      </c>
    </row>
    <row r="30" spans="1:17" ht="15.75" customHeight="1" x14ac:dyDescent="0.15">
      <c r="B30" s="16" t="s">
        <v>6</v>
      </c>
      <c r="C30" s="19" t="s">
        <v>23</v>
      </c>
    </row>
    <row r="31" spans="1:17" ht="15.75" customHeight="1" x14ac:dyDescent="0.15">
      <c r="B31" s="16" t="s">
        <v>7</v>
      </c>
      <c r="C31" s="19" t="s">
        <v>24</v>
      </c>
    </row>
    <row r="32" spans="1:17" ht="15.75" customHeight="1" x14ac:dyDescent="0.15">
      <c r="B32" s="16" t="s">
        <v>8</v>
      </c>
      <c r="C32" s="19" t="s">
        <v>25</v>
      </c>
    </row>
    <row r="33" spans="2:3" ht="15.75" customHeight="1" x14ac:dyDescent="0.15">
      <c r="B33" s="16" t="s">
        <v>9</v>
      </c>
      <c r="C33" s="19" t="s">
        <v>26</v>
      </c>
    </row>
    <row r="34" spans="2:3" ht="15.75" customHeight="1" x14ac:dyDescent="0.15">
      <c r="B34" s="16" t="s">
        <v>10</v>
      </c>
      <c r="C34" s="19" t="s">
        <v>27</v>
      </c>
    </row>
    <row r="35" spans="2:3" ht="15.75" customHeight="1" x14ac:dyDescent="0.15">
      <c r="B35" s="16" t="s">
        <v>11</v>
      </c>
      <c r="C35" s="19" t="s">
        <v>28</v>
      </c>
    </row>
    <row r="36" spans="2:3" ht="15.75" customHeight="1" x14ac:dyDescent="0.15">
      <c r="B36" s="16" t="s">
        <v>12</v>
      </c>
      <c r="C36" s="19" t="s">
        <v>29</v>
      </c>
    </row>
    <row r="37" spans="2:3" ht="15.75" customHeight="1" x14ac:dyDescent="0.15">
      <c r="B37" s="16" t="s">
        <v>13</v>
      </c>
      <c r="C37" s="19" t="s">
        <v>30</v>
      </c>
    </row>
    <row r="38" spans="2:3" ht="15.75" customHeight="1" x14ac:dyDescent="0.15">
      <c r="B38" s="16" t="s">
        <v>14</v>
      </c>
      <c r="C38" s="19" t="s">
        <v>31</v>
      </c>
    </row>
    <row r="39" spans="2:3" ht="15.75" customHeight="1" x14ac:dyDescent="0.15">
      <c r="B39" s="16" t="s">
        <v>15</v>
      </c>
      <c r="C39" s="19" t="s">
        <v>32</v>
      </c>
    </row>
    <row r="40" spans="2:3" ht="15.75" customHeight="1" x14ac:dyDescent="0.15">
      <c r="B40" s="16" t="s">
        <v>16</v>
      </c>
      <c r="C40" s="19" t="s">
        <v>33</v>
      </c>
    </row>
    <row r="41" spans="2:3" ht="15.75" customHeight="1" x14ac:dyDescent="0.15">
      <c r="B41" s="17" t="s">
        <v>17</v>
      </c>
      <c r="C41" s="19" t="s">
        <v>34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C40CB-B6F2-0743-A138-287257D88639}">
  <sheetPr>
    <outlinePr summaryBelow="0" summaryRight="0"/>
  </sheetPr>
  <dimension ref="A1:R22"/>
  <sheetViews>
    <sheetView zoomScale="130" zoomScaleNormal="130" workbookViewId="0">
      <pane ySplit="1" topLeftCell="A2" activePane="bottomLeft" state="frozen"/>
      <selection pane="bottomLeft" activeCell="I2" sqref="I2:I20"/>
    </sheetView>
  </sheetViews>
  <sheetFormatPr baseColWidth="10" defaultColWidth="12.6640625" defaultRowHeight="15.75" customHeight="1" x14ac:dyDescent="0.15"/>
  <cols>
    <col min="1" max="1" width="13" bestFit="1" customWidth="1"/>
    <col min="2" max="2" width="5" bestFit="1" customWidth="1"/>
    <col min="3" max="3" width="10" bestFit="1" customWidth="1"/>
    <col min="4" max="4" width="14" bestFit="1" customWidth="1"/>
    <col min="5" max="5" width="8" bestFit="1" customWidth="1"/>
    <col min="6" max="6" width="6.5" bestFit="1" customWidth="1"/>
    <col min="7" max="7" width="11.6640625" bestFit="1" customWidth="1"/>
    <col min="8" max="8" width="7.83203125" bestFit="1" customWidth="1"/>
    <col min="9" max="9" width="15.1640625" bestFit="1" customWidth="1"/>
    <col min="10" max="10" width="5.33203125" bestFit="1" customWidth="1"/>
    <col min="11" max="11" width="10.5" bestFit="1" customWidth="1"/>
    <col min="12" max="12" width="14.33203125" bestFit="1" customWidth="1"/>
    <col min="13" max="13" width="12.5" bestFit="1" customWidth="1"/>
    <col min="14" max="14" width="9.33203125" bestFit="1" customWidth="1"/>
    <col min="15" max="15" width="4" bestFit="1" customWidth="1"/>
    <col min="16" max="16" width="7.33203125" bestFit="1" customWidth="1"/>
    <col min="17" max="17" width="9.1640625" bestFit="1" customWidth="1"/>
    <col min="18" max="18" width="6" bestFit="1" customWidth="1"/>
    <col min="19" max="24" width="18.83203125" customWidth="1"/>
  </cols>
  <sheetData>
    <row r="1" spans="1:18" s="15" customFormat="1" ht="15.75" customHeight="1" x14ac:dyDescent="0.15">
      <c r="A1" s="20" t="s">
        <v>18</v>
      </c>
      <c r="B1" s="20" t="s">
        <v>19</v>
      </c>
      <c r="C1" s="20" t="s">
        <v>20</v>
      </c>
      <c r="D1" s="21" t="s">
        <v>21</v>
      </c>
      <c r="E1" s="21" t="s">
        <v>22</v>
      </c>
      <c r="F1" s="21" t="s">
        <v>23</v>
      </c>
      <c r="G1" s="21" t="s">
        <v>24</v>
      </c>
      <c r="H1" s="21" t="s">
        <v>25</v>
      </c>
      <c r="I1" s="22" t="s">
        <v>35</v>
      </c>
      <c r="J1" s="21" t="s">
        <v>26</v>
      </c>
      <c r="K1" s="21" t="s">
        <v>27</v>
      </c>
      <c r="L1" s="21" t="s">
        <v>28</v>
      </c>
      <c r="M1" s="21" t="s">
        <v>29</v>
      </c>
      <c r="N1" s="21" t="s">
        <v>30</v>
      </c>
      <c r="O1" s="21" t="s">
        <v>31</v>
      </c>
      <c r="P1" s="21" t="s">
        <v>32</v>
      </c>
      <c r="Q1" s="21" t="s">
        <v>33</v>
      </c>
      <c r="R1" s="21" t="s">
        <v>34</v>
      </c>
    </row>
    <row r="2" spans="1:18" ht="15.75" customHeight="1" x14ac:dyDescent="0.15">
      <c r="A2" s="5">
        <v>7</v>
      </c>
      <c r="B2" s="5">
        <v>8</v>
      </c>
      <c r="C2" s="5">
        <v>7</v>
      </c>
      <c r="D2" s="5">
        <v>1</v>
      </c>
      <c r="E2" s="5">
        <v>8</v>
      </c>
      <c r="F2" s="5">
        <v>7</v>
      </c>
      <c r="G2" s="5">
        <v>9</v>
      </c>
      <c r="H2" s="5">
        <v>5</v>
      </c>
      <c r="I2" s="5">
        <f>AVERAGE(Form_Responses134[[#This Row],[curr_happiness]:[meaning]])</f>
        <v>6.5</v>
      </c>
      <c r="J2" s="5">
        <v>8</v>
      </c>
      <c r="K2" s="5">
        <v>1</v>
      </c>
      <c r="L2" s="5">
        <v>9</v>
      </c>
      <c r="M2" s="5">
        <v>8</v>
      </c>
      <c r="N2" s="5">
        <v>4</v>
      </c>
      <c r="O2" s="5">
        <v>4</v>
      </c>
      <c r="P2" s="5">
        <v>10</v>
      </c>
      <c r="Q2" s="5">
        <v>1</v>
      </c>
      <c r="R2" s="6">
        <v>9</v>
      </c>
    </row>
    <row r="3" spans="1:18" ht="15.75" customHeight="1" x14ac:dyDescent="0.15">
      <c r="A3" s="8">
        <v>5</v>
      </c>
      <c r="B3" s="8">
        <v>7</v>
      </c>
      <c r="C3" s="8">
        <v>6</v>
      </c>
      <c r="D3" s="8">
        <v>1</v>
      </c>
      <c r="E3" s="8">
        <v>6</v>
      </c>
      <c r="F3" s="8">
        <v>3</v>
      </c>
      <c r="G3" s="8">
        <v>9</v>
      </c>
      <c r="H3" s="8">
        <v>8</v>
      </c>
      <c r="I3" s="8">
        <f>AVERAGE(Form_Responses134[[#This Row],[curr_happiness]:[meaning]])</f>
        <v>5.625</v>
      </c>
      <c r="J3" s="8">
        <v>4</v>
      </c>
      <c r="K3" s="8">
        <v>8</v>
      </c>
      <c r="L3" s="8">
        <v>1</v>
      </c>
      <c r="M3" s="8">
        <v>7</v>
      </c>
      <c r="N3" s="8">
        <v>7</v>
      </c>
      <c r="O3" s="8">
        <v>7</v>
      </c>
      <c r="P3" s="8">
        <v>10</v>
      </c>
      <c r="Q3" s="8">
        <v>1</v>
      </c>
      <c r="R3" s="9">
        <v>10</v>
      </c>
    </row>
    <row r="4" spans="1:18" ht="15.75" customHeight="1" x14ac:dyDescent="0.15">
      <c r="A4" s="5">
        <v>7</v>
      </c>
      <c r="B4" s="5">
        <v>8</v>
      </c>
      <c r="C4" s="5">
        <v>8</v>
      </c>
      <c r="D4" s="5">
        <v>5</v>
      </c>
      <c r="E4" s="5">
        <v>10</v>
      </c>
      <c r="F4" s="5">
        <v>8</v>
      </c>
      <c r="G4" s="5">
        <v>9</v>
      </c>
      <c r="H4" s="5">
        <v>8</v>
      </c>
      <c r="I4" s="5">
        <f>AVERAGE(Form_Responses134[[#This Row],[curr_happiness]:[meaning]])</f>
        <v>7.875</v>
      </c>
      <c r="J4" s="5">
        <v>6</v>
      </c>
      <c r="K4" s="5">
        <v>3</v>
      </c>
      <c r="L4" s="5">
        <v>6</v>
      </c>
      <c r="M4" s="5">
        <v>8</v>
      </c>
      <c r="N4" s="5">
        <v>8</v>
      </c>
      <c r="O4" s="5">
        <v>7</v>
      </c>
      <c r="P4" s="5">
        <v>8</v>
      </c>
      <c r="Q4" s="5">
        <v>8</v>
      </c>
      <c r="R4" s="6">
        <v>7</v>
      </c>
    </row>
    <row r="5" spans="1:18" ht="15.75" customHeight="1" x14ac:dyDescent="0.15">
      <c r="A5" s="8">
        <v>6</v>
      </c>
      <c r="B5" s="8">
        <v>5</v>
      </c>
      <c r="C5" s="8">
        <v>3</v>
      </c>
      <c r="D5" s="8">
        <v>1</v>
      </c>
      <c r="E5" s="8">
        <v>7</v>
      </c>
      <c r="F5" s="8">
        <v>5</v>
      </c>
      <c r="G5" s="8">
        <v>3</v>
      </c>
      <c r="H5" s="8">
        <v>7</v>
      </c>
      <c r="I5" s="8">
        <f>AVERAGE(Form_Responses134[[#This Row],[curr_happiness]:[meaning]])</f>
        <v>4.625</v>
      </c>
      <c r="J5" s="8">
        <v>9</v>
      </c>
      <c r="K5" s="8">
        <v>1</v>
      </c>
      <c r="L5" s="8">
        <v>4</v>
      </c>
      <c r="M5" s="8">
        <v>8</v>
      </c>
      <c r="N5" s="8">
        <v>3</v>
      </c>
      <c r="O5" s="8">
        <v>1</v>
      </c>
      <c r="P5" s="8">
        <v>3</v>
      </c>
      <c r="Q5" s="8">
        <v>1</v>
      </c>
      <c r="R5" s="9">
        <v>3</v>
      </c>
    </row>
    <row r="6" spans="1:18" ht="15.75" customHeight="1" x14ac:dyDescent="0.15">
      <c r="A6" s="5">
        <v>6</v>
      </c>
      <c r="B6" s="5">
        <v>7</v>
      </c>
      <c r="C6" s="5">
        <v>3</v>
      </c>
      <c r="D6" s="5">
        <v>1</v>
      </c>
      <c r="E6" s="5">
        <v>7</v>
      </c>
      <c r="F6" s="5">
        <v>5</v>
      </c>
      <c r="G6" s="5">
        <v>6</v>
      </c>
      <c r="H6" s="5">
        <v>3</v>
      </c>
      <c r="I6" s="5">
        <f>AVERAGE(Form_Responses134[[#This Row],[curr_happiness]:[meaning]])</f>
        <v>4.75</v>
      </c>
      <c r="J6" s="5">
        <v>7</v>
      </c>
      <c r="K6" s="5">
        <v>1</v>
      </c>
      <c r="L6" s="5">
        <v>2</v>
      </c>
      <c r="M6" s="5">
        <v>6</v>
      </c>
      <c r="N6" s="5">
        <v>3</v>
      </c>
      <c r="O6" s="5">
        <v>5</v>
      </c>
      <c r="P6" s="5">
        <v>8</v>
      </c>
      <c r="Q6" s="5">
        <v>1</v>
      </c>
      <c r="R6" s="6">
        <v>5</v>
      </c>
    </row>
    <row r="7" spans="1:18" ht="15.75" customHeight="1" x14ac:dyDescent="0.15">
      <c r="A7" s="8">
        <v>8</v>
      </c>
      <c r="B7" s="8">
        <v>8</v>
      </c>
      <c r="C7" s="8">
        <v>8</v>
      </c>
      <c r="D7" s="8">
        <v>9</v>
      </c>
      <c r="E7" s="8">
        <v>9</v>
      </c>
      <c r="F7" s="8">
        <v>8</v>
      </c>
      <c r="G7" s="8">
        <v>9</v>
      </c>
      <c r="H7" s="8">
        <v>10</v>
      </c>
      <c r="I7" s="8">
        <f>AVERAGE(Form_Responses134[[#This Row],[curr_happiness]:[meaning]])</f>
        <v>8.625</v>
      </c>
      <c r="J7" s="8">
        <v>7</v>
      </c>
      <c r="K7" s="8">
        <v>7</v>
      </c>
      <c r="L7" s="8">
        <v>7</v>
      </c>
      <c r="M7" s="8">
        <v>7</v>
      </c>
      <c r="N7" s="8">
        <v>9</v>
      </c>
      <c r="O7" s="8">
        <v>8</v>
      </c>
      <c r="P7" s="8">
        <v>10</v>
      </c>
      <c r="Q7" s="8">
        <v>2</v>
      </c>
      <c r="R7" s="9">
        <v>10</v>
      </c>
    </row>
    <row r="8" spans="1:18" ht="15.75" customHeight="1" x14ac:dyDescent="0.15">
      <c r="A8" s="5">
        <v>7</v>
      </c>
      <c r="B8" s="5">
        <v>8</v>
      </c>
      <c r="C8" s="5">
        <v>8</v>
      </c>
      <c r="D8" s="5">
        <v>1</v>
      </c>
      <c r="E8" s="5">
        <v>10</v>
      </c>
      <c r="F8" s="5">
        <v>8</v>
      </c>
      <c r="G8" s="5">
        <v>7</v>
      </c>
      <c r="H8" s="5">
        <v>10</v>
      </c>
      <c r="I8" s="5">
        <f>AVERAGE(Form_Responses134[[#This Row],[curr_happiness]:[meaning]])</f>
        <v>7.375</v>
      </c>
      <c r="J8" s="5">
        <v>3</v>
      </c>
      <c r="K8" s="5">
        <v>9</v>
      </c>
      <c r="L8" s="5">
        <v>4</v>
      </c>
      <c r="M8" s="5">
        <v>7</v>
      </c>
      <c r="N8" s="5">
        <v>9</v>
      </c>
      <c r="O8" s="5">
        <v>5</v>
      </c>
      <c r="P8" s="5">
        <v>7</v>
      </c>
      <c r="Q8" s="5">
        <v>10</v>
      </c>
      <c r="R8" s="6">
        <v>9</v>
      </c>
    </row>
    <row r="9" spans="1:18" ht="15.75" customHeight="1" x14ac:dyDescent="0.15">
      <c r="A9" s="8">
        <v>7</v>
      </c>
      <c r="B9" s="8">
        <v>8</v>
      </c>
      <c r="C9" s="8">
        <v>9</v>
      </c>
      <c r="D9" s="8">
        <v>1</v>
      </c>
      <c r="E9" s="8">
        <v>9</v>
      </c>
      <c r="F9" s="8">
        <v>10</v>
      </c>
      <c r="G9" s="8">
        <v>8</v>
      </c>
      <c r="H9" s="8">
        <v>10</v>
      </c>
      <c r="I9" s="8">
        <f>AVERAGE(Form_Responses134[[#This Row],[curr_happiness]:[meaning]])</f>
        <v>7.75</v>
      </c>
      <c r="J9" s="8">
        <v>10</v>
      </c>
      <c r="K9" s="8">
        <v>9</v>
      </c>
      <c r="L9" s="8">
        <v>9</v>
      </c>
      <c r="M9" s="8">
        <v>10</v>
      </c>
      <c r="N9" s="8">
        <v>8</v>
      </c>
      <c r="O9" s="8">
        <v>9</v>
      </c>
      <c r="P9" s="8">
        <v>10</v>
      </c>
      <c r="Q9" s="8">
        <v>1</v>
      </c>
      <c r="R9" s="9">
        <v>8</v>
      </c>
    </row>
    <row r="10" spans="1:18" ht="15.75" customHeight="1" x14ac:dyDescent="0.15">
      <c r="A10" s="5">
        <v>3</v>
      </c>
      <c r="B10" s="5">
        <v>6</v>
      </c>
      <c r="C10" s="5">
        <v>5</v>
      </c>
      <c r="D10" s="5">
        <v>5</v>
      </c>
      <c r="E10" s="5">
        <v>3</v>
      </c>
      <c r="F10" s="5">
        <v>4</v>
      </c>
      <c r="G10" s="5">
        <v>5</v>
      </c>
      <c r="H10" s="5">
        <v>5</v>
      </c>
      <c r="I10" s="5">
        <f>AVERAGE(Form_Responses134[[#This Row],[curr_happiness]:[meaning]])</f>
        <v>4.5</v>
      </c>
      <c r="J10" s="5">
        <v>2</v>
      </c>
      <c r="K10" s="5">
        <v>4</v>
      </c>
      <c r="L10" s="5">
        <v>8</v>
      </c>
      <c r="M10" s="5">
        <v>1</v>
      </c>
      <c r="N10" s="5">
        <v>3</v>
      </c>
      <c r="O10" s="5">
        <v>3</v>
      </c>
      <c r="P10" s="5">
        <v>6</v>
      </c>
      <c r="Q10" s="5">
        <v>6</v>
      </c>
      <c r="R10" s="6">
        <v>6</v>
      </c>
    </row>
    <row r="11" spans="1:18" ht="15.75" customHeight="1" x14ac:dyDescent="0.15">
      <c r="A11" s="8">
        <v>7</v>
      </c>
      <c r="B11" s="8">
        <v>8</v>
      </c>
      <c r="C11" s="8">
        <v>8</v>
      </c>
      <c r="D11" s="8">
        <v>7</v>
      </c>
      <c r="E11" s="8">
        <v>10</v>
      </c>
      <c r="F11" s="8">
        <v>9</v>
      </c>
      <c r="G11" s="8">
        <v>8</v>
      </c>
      <c r="H11" s="8">
        <v>9</v>
      </c>
      <c r="I11" s="8">
        <f>AVERAGE(Form_Responses134[[#This Row],[curr_happiness]:[meaning]])</f>
        <v>8.25</v>
      </c>
      <c r="J11" s="8">
        <v>6</v>
      </c>
      <c r="K11" s="8">
        <v>7</v>
      </c>
      <c r="L11" s="8">
        <v>7</v>
      </c>
      <c r="M11" s="8">
        <v>5</v>
      </c>
      <c r="N11" s="8">
        <v>6</v>
      </c>
      <c r="O11" s="8">
        <v>5</v>
      </c>
      <c r="P11" s="8">
        <v>4</v>
      </c>
      <c r="Q11" s="8">
        <v>6</v>
      </c>
      <c r="R11" s="9">
        <v>7</v>
      </c>
    </row>
    <row r="12" spans="1:18" ht="15.75" customHeight="1" x14ac:dyDescent="0.15">
      <c r="A12" s="5">
        <v>7</v>
      </c>
      <c r="B12" s="5">
        <v>5</v>
      </c>
      <c r="C12" s="5">
        <v>7</v>
      </c>
      <c r="D12" s="5">
        <v>9</v>
      </c>
      <c r="E12" s="5">
        <v>7</v>
      </c>
      <c r="F12" s="5">
        <v>10</v>
      </c>
      <c r="G12" s="5">
        <v>8</v>
      </c>
      <c r="H12" s="5">
        <v>10</v>
      </c>
      <c r="I12" s="5">
        <f>AVERAGE(Form_Responses134[[#This Row],[curr_happiness]:[meaning]])</f>
        <v>7.875</v>
      </c>
      <c r="J12" s="5">
        <v>7</v>
      </c>
      <c r="K12" s="5">
        <v>1</v>
      </c>
      <c r="L12" s="5">
        <v>1</v>
      </c>
      <c r="M12" s="5">
        <v>10</v>
      </c>
      <c r="N12" s="5">
        <v>2</v>
      </c>
      <c r="O12" s="5">
        <v>10</v>
      </c>
      <c r="P12" s="5">
        <v>10</v>
      </c>
      <c r="Q12" s="5">
        <v>6</v>
      </c>
      <c r="R12" s="6">
        <v>10</v>
      </c>
    </row>
    <row r="13" spans="1:18" ht="15.75" customHeight="1" x14ac:dyDescent="0.15">
      <c r="A13" s="8">
        <v>10</v>
      </c>
      <c r="B13" s="8">
        <v>10</v>
      </c>
      <c r="C13" s="8">
        <v>8</v>
      </c>
      <c r="D13" s="8">
        <v>10</v>
      </c>
      <c r="E13" s="8">
        <v>10</v>
      </c>
      <c r="F13" s="8">
        <v>8</v>
      </c>
      <c r="G13" s="8">
        <v>9</v>
      </c>
      <c r="H13" s="8">
        <v>10</v>
      </c>
      <c r="I13" s="8">
        <f>AVERAGE(Form_Responses134[[#This Row],[curr_happiness]:[meaning]])</f>
        <v>9.375</v>
      </c>
      <c r="J13" s="8">
        <v>2</v>
      </c>
      <c r="K13" s="8">
        <v>1</v>
      </c>
      <c r="L13" s="8">
        <v>4</v>
      </c>
      <c r="M13" s="8">
        <v>8</v>
      </c>
      <c r="N13" s="8">
        <v>9</v>
      </c>
      <c r="O13" s="8">
        <v>7</v>
      </c>
      <c r="P13" s="8">
        <v>8</v>
      </c>
      <c r="Q13" s="8">
        <v>1</v>
      </c>
      <c r="R13" s="9">
        <v>9</v>
      </c>
    </row>
    <row r="14" spans="1:18" ht="15.75" customHeight="1" x14ac:dyDescent="0.15">
      <c r="A14" s="5">
        <v>10</v>
      </c>
      <c r="B14" s="5">
        <v>9</v>
      </c>
      <c r="C14" s="5">
        <v>8</v>
      </c>
      <c r="D14" s="5">
        <v>10</v>
      </c>
      <c r="E14" s="5">
        <v>10</v>
      </c>
      <c r="F14" s="5">
        <v>8</v>
      </c>
      <c r="G14" s="5">
        <v>10</v>
      </c>
      <c r="H14" s="5">
        <v>10</v>
      </c>
      <c r="I14" s="5">
        <f>AVERAGE(Form_Responses134[[#This Row],[curr_happiness]:[meaning]])</f>
        <v>9.375</v>
      </c>
      <c r="J14" s="5">
        <v>4</v>
      </c>
      <c r="K14" s="5">
        <v>10</v>
      </c>
      <c r="L14" s="5">
        <v>5</v>
      </c>
      <c r="M14" s="5">
        <v>10</v>
      </c>
      <c r="N14" s="5">
        <v>7</v>
      </c>
      <c r="O14" s="5">
        <v>5</v>
      </c>
      <c r="P14" s="5">
        <v>10</v>
      </c>
      <c r="Q14" s="5">
        <v>6</v>
      </c>
      <c r="R14" s="6">
        <v>10</v>
      </c>
    </row>
    <row r="15" spans="1:18" ht="15.75" customHeight="1" x14ac:dyDescent="0.15">
      <c r="A15" s="8">
        <v>6</v>
      </c>
      <c r="B15" s="8">
        <v>8</v>
      </c>
      <c r="C15" s="8">
        <v>4</v>
      </c>
      <c r="D15" s="8">
        <v>10</v>
      </c>
      <c r="E15" s="8">
        <v>10</v>
      </c>
      <c r="F15" s="8">
        <v>5</v>
      </c>
      <c r="G15" s="8">
        <v>5</v>
      </c>
      <c r="H15" s="8">
        <v>8</v>
      </c>
      <c r="I15" s="8">
        <f>AVERAGE(Form_Responses134[[#This Row],[curr_happiness]:[meaning]])</f>
        <v>7</v>
      </c>
      <c r="J15" s="8">
        <v>5</v>
      </c>
      <c r="K15" s="8">
        <v>6</v>
      </c>
      <c r="L15" s="8">
        <v>4</v>
      </c>
      <c r="M15" s="8">
        <v>5</v>
      </c>
      <c r="N15" s="8">
        <v>10</v>
      </c>
      <c r="O15" s="8">
        <v>5</v>
      </c>
      <c r="P15" s="8">
        <v>8</v>
      </c>
      <c r="Q15" s="8">
        <v>1</v>
      </c>
      <c r="R15" s="9">
        <v>5</v>
      </c>
    </row>
    <row r="16" spans="1:18" ht="15.75" customHeight="1" x14ac:dyDescent="0.15">
      <c r="A16" s="8">
        <v>4</v>
      </c>
      <c r="B16" s="8">
        <v>2</v>
      </c>
      <c r="C16" s="8">
        <v>1</v>
      </c>
      <c r="D16" s="8">
        <v>1</v>
      </c>
      <c r="E16" s="8">
        <v>1</v>
      </c>
      <c r="F16" s="8">
        <v>1</v>
      </c>
      <c r="G16" s="8">
        <v>1</v>
      </c>
      <c r="H16" s="8">
        <v>1</v>
      </c>
      <c r="I16" s="8">
        <f>AVERAGE(Form_Responses134[[#This Row],[curr_happiness]:[meaning]])</f>
        <v>1.5</v>
      </c>
      <c r="J16" s="8">
        <v>2</v>
      </c>
      <c r="K16" s="8">
        <v>1</v>
      </c>
      <c r="L16" s="8">
        <v>1</v>
      </c>
      <c r="M16" s="8">
        <v>1</v>
      </c>
      <c r="N16" s="8">
        <v>1</v>
      </c>
      <c r="O16" s="8">
        <v>1</v>
      </c>
      <c r="P16" s="8">
        <v>1</v>
      </c>
      <c r="Q16" s="8">
        <v>1</v>
      </c>
      <c r="R16" s="9">
        <v>1</v>
      </c>
    </row>
    <row r="17" spans="1:18" ht="15.75" customHeight="1" x14ac:dyDescent="0.15">
      <c r="A17" s="5">
        <v>10</v>
      </c>
      <c r="B17" s="5">
        <v>8</v>
      </c>
      <c r="C17" s="5">
        <v>7</v>
      </c>
      <c r="D17" s="5">
        <v>5</v>
      </c>
      <c r="E17" s="5">
        <v>8</v>
      </c>
      <c r="F17" s="5">
        <v>7</v>
      </c>
      <c r="G17" s="5">
        <v>6</v>
      </c>
      <c r="H17" s="5">
        <v>7</v>
      </c>
      <c r="I17" s="5">
        <f>AVERAGE(Form_Responses134[[#This Row],[curr_happiness]:[meaning]])</f>
        <v>7.25</v>
      </c>
      <c r="J17" s="5">
        <v>7</v>
      </c>
      <c r="K17" s="5">
        <v>2</v>
      </c>
      <c r="L17" s="5">
        <v>3</v>
      </c>
      <c r="M17" s="5">
        <v>3</v>
      </c>
      <c r="N17" s="5">
        <v>4</v>
      </c>
      <c r="O17" s="5">
        <v>3</v>
      </c>
      <c r="P17" s="5">
        <v>4</v>
      </c>
      <c r="Q17" s="5">
        <v>1</v>
      </c>
      <c r="R17" s="6">
        <v>3</v>
      </c>
    </row>
    <row r="18" spans="1:18" ht="15.75" customHeight="1" x14ac:dyDescent="0.15">
      <c r="A18" s="8">
        <v>9</v>
      </c>
      <c r="B18" s="8">
        <v>8</v>
      </c>
      <c r="C18" s="8">
        <v>6</v>
      </c>
      <c r="D18" s="8">
        <v>7</v>
      </c>
      <c r="E18" s="8">
        <v>8</v>
      </c>
      <c r="F18" s="8">
        <v>8</v>
      </c>
      <c r="G18" s="8">
        <v>9</v>
      </c>
      <c r="H18" s="8">
        <v>10</v>
      </c>
      <c r="I18" s="8">
        <f>AVERAGE(Form_Responses134[[#This Row],[curr_happiness]:[meaning]])</f>
        <v>8.125</v>
      </c>
      <c r="J18" s="8">
        <v>9</v>
      </c>
      <c r="K18" s="8">
        <v>8</v>
      </c>
      <c r="L18" s="8">
        <v>5</v>
      </c>
      <c r="M18" s="8">
        <v>8</v>
      </c>
      <c r="N18" s="8">
        <v>9</v>
      </c>
      <c r="O18" s="8">
        <v>7</v>
      </c>
      <c r="P18" s="8">
        <v>9</v>
      </c>
      <c r="Q18" s="8">
        <v>8</v>
      </c>
      <c r="R18" s="9">
        <v>9</v>
      </c>
    </row>
    <row r="19" spans="1:18" ht="15.75" customHeight="1" x14ac:dyDescent="0.15">
      <c r="A19" s="5">
        <v>8</v>
      </c>
      <c r="B19" s="5">
        <v>7</v>
      </c>
      <c r="C19" s="5">
        <v>4</v>
      </c>
      <c r="D19" s="5">
        <v>5</v>
      </c>
      <c r="E19" s="5">
        <v>9</v>
      </c>
      <c r="F19" s="5">
        <v>4</v>
      </c>
      <c r="G19" s="5">
        <v>7</v>
      </c>
      <c r="H19" s="5">
        <v>1</v>
      </c>
      <c r="I19" s="5">
        <f>AVERAGE(Form_Responses134[[#This Row],[curr_happiness]:[meaning]])</f>
        <v>5.625</v>
      </c>
      <c r="J19" s="5">
        <v>3</v>
      </c>
      <c r="K19" s="5">
        <v>2</v>
      </c>
      <c r="L19" s="5">
        <v>3</v>
      </c>
      <c r="M19" s="5">
        <v>5</v>
      </c>
      <c r="N19" s="5">
        <v>5</v>
      </c>
      <c r="O19" s="5">
        <v>3</v>
      </c>
      <c r="P19" s="5">
        <v>5</v>
      </c>
      <c r="Q19" s="5">
        <v>1</v>
      </c>
      <c r="R19" s="6">
        <v>5</v>
      </c>
    </row>
    <row r="20" spans="1:18" ht="15.75" customHeight="1" x14ac:dyDescent="0.15">
      <c r="A20" s="11">
        <v>8</v>
      </c>
      <c r="B20" s="11">
        <v>10</v>
      </c>
      <c r="C20" s="11">
        <v>10</v>
      </c>
      <c r="D20" s="11">
        <v>10</v>
      </c>
      <c r="E20" s="11">
        <v>10</v>
      </c>
      <c r="F20" s="11">
        <v>6</v>
      </c>
      <c r="G20" s="11">
        <v>8</v>
      </c>
      <c r="H20" s="11">
        <v>10</v>
      </c>
      <c r="I20" s="11">
        <f>AVERAGE(Form_Responses134[[#This Row],[curr_happiness]:[meaning]])</f>
        <v>9</v>
      </c>
      <c r="J20" s="11">
        <v>5</v>
      </c>
      <c r="K20" s="11">
        <v>7</v>
      </c>
      <c r="L20" s="11">
        <v>7</v>
      </c>
      <c r="M20" s="11">
        <v>8</v>
      </c>
      <c r="N20" s="11">
        <v>6</v>
      </c>
      <c r="O20" s="11">
        <v>5</v>
      </c>
      <c r="P20" s="11">
        <v>8</v>
      </c>
      <c r="Q20" s="11">
        <v>1</v>
      </c>
      <c r="R20" s="12">
        <v>7</v>
      </c>
    </row>
    <row r="22" spans="1:18" ht="15.75" customHeight="1" x14ac:dyDescent="0.15">
      <c r="A22">
        <f>COUNT(Form_Responses134[curr_happiness])</f>
        <v>19</v>
      </c>
      <c r="B22">
        <f>COUNT(Form_Responses134[smile])</f>
        <v>19</v>
      </c>
      <c r="C22">
        <f>COUNT(Form_Responses134[anticipation])</f>
        <v>19</v>
      </c>
      <c r="D22">
        <f>COUNT(Form_Responses134[relationship_hap])</f>
        <v>19</v>
      </c>
      <c r="E22">
        <f>COUNT(Form_Responses134[gratitude])</f>
        <v>19</v>
      </c>
      <c r="F22">
        <f>COUNT(Form_Responses134[energy])</f>
        <v>19</v>
      </c>
      <c r="G22">
        <f>COUNT(Form_Responses134[bounce_back])</f>
        <v>19</v>
      </c>
      <c r="H22">
        <f>COUNT(Form_Responses134[meaning])</f>
        <v>19</v>
      </c>
      <c r="J22">
        <f>COUNT(Form_Responses134[sleep])</f>
        <v>19</v>
      </c>
      <c r="K22">
        <f>COUNT(Form_Responses134[working_out])</f>
        <v>19</v>
      </c>
      <c r="L22">
        <f>COUNT(Form_Responses134[nature_exposure])</f>
        <v>19</v>
      </c>
      <c r="M22">
        <f>COUNT(Form_Responses134[like_your_work])</f>
        <v>19</v>
      </c>
      <c r="N22">
        <f>COUNT(Form_Responses134[time_for_ff])</f>
        <v>19</v>
      </c>
      <c r="O22">
        <f>COUNT(Form_Responses134[diet])</f>
        <v>19</v>
      </c>
      <c r="P22">
        <f>COUNT(Form_Responses134[balance])</f>
        <v>19</v>
      </c>
      <c r="Q22">
        <f>COUNT(Form_Responses134[meditation])</f>
        <v>19</v>
      </c>
      <c r="R22">
        <f>COUNT(Form_Responses134[health])</f>
        <v>19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1497F-8B75-2343-B536-BF96C10FCE19}">
  <dimension ref="A1:I26"/>
  <sheetViews>
    <sheetView tabSelected="1" zoomScale="180" zoomScaleNormal="180" workbookViewId="0">
      <selection activeCell="E8" sqref="E8"/>
    </sheetView>
  </sheetViews>
  <sheetFormatPr baseColWidth="10" defaultRowHeight="13" x14ac:dyDescent="0.15"/>
  <cols>
    <col min="1" max="1" width="17.1640625" bestFit="1" customWidth="1"/>
    <col min="2" max="2" width="12.1640625" bestFit="1" customWidth="1"/>
    <col min="3" max="3" width="12.83203125" bestFit="1" customWidth="1"/>
    <col min="4" max="5" width="12.1640625" bestFit="1" customWidth="1"/>
    <col min="6" max="6" width="12.33203125" bestFit="1" customWidth="1"/>
    <col min="7" max="7" width="10.1640625" bestFit="1" customWidth="1"/>
    <col min="8" max="9" width="11.6640625" bestFit="1" customWidth="1"/>
  </cols>
  <sheetData>
    <row r="1" spans="1:9" x14ac:dyDescent="0.15">
      <c r="A1" t="s">
        <v>36</v>
      </c>
    </row>
    <row r="2" spans="1:9" ht="14" thickBot="1" x14ac:dyDescent="0.2"/>
    <row r="3" spans="1:9" x14ac:dyDescent="0.15">
      <c r="A3" s="26" t="s">
        <v>37</v>
      </c>
      <c r="B3" s="26"/>
    </row>
    <row r="4" spans="1:9" x14ac:dyDescent="0.15">
      <c r="A4" s="23" t="s">
        <v>38</v>
      </c>
      <c r="B4" s="23">
        <v>0.84586921778232071</v>
      </c>
    </row>
    <row r="5" spans="1:9" x14ac:dyDescent="0.15">
      <c r="A5" s="23" t="s">
        <v>39</v>
      </c>
      <c r="B5" s="23">
        <v>0.71549473359167515</v>
      </c>
    </row>
    <row r="6" spans="1:9" x14ac:dyDescent="0.15">
      <c r="A6" s="23" t="s">
        <v>40</v>
      </c>
      <c r="B6" s="23">
        <v>0.43098946718335029</v>
      </c>
    </row>
    <row r="7" spans="1:9" x14ac:dyDescent="0.15">
      <c r="A7" s="23" t="s">
        <v>41</v>
      </c>
      <c r="B7" s="23">
        <v>1.5301964643227908</v>
      </c>
    </row>
    <row r="8" spans="1:9" ht="14" thickBot="1" x14ac:dyDescent="0.2">
      <c r="A8" s="24" t="s">
        <v>42</v>
      </c>
      <c r="B8" s="24">
        <v>19</v>
      </c>
    </row>
    <row r="10" spans="1:9" ht="14" thickBot="1" x14ac:dyDescent="0.2">
      <c r="A10" t="s">
        <v>43</v>
      </c>
    </row>
    <row r="11" spans="1:9" x14ac:dyDescent="0.15">
      <c r="A11" s="25"/>
      <c r="B11" s="25" t="s">
        <v>48</v>
      </c>
      <c r="C11" s="25" t="s">
        <v>49</v>
      </c>
      <c r="D11" s="25" t="s">
        <v>50</v>
      </c>
      <c r="E11" s="25" t="s">
        <v>51</v>
      </c>
      <c r="F11" s="25" t="s">
        <v>52</v>
      </c>
    </row>
    <row r="12" spans="1:9" x14ac:dyDescent="0.15">
      <c r="A12" s="23" t="s">
        <v>44</v>
      </c>
      <c r="B12" s="23">
        <v>9</v>
      </c>
      <c r="C12" s="23">
        <v>52.99721270937679</v>
      </c>
      <c r="D12" s="23">
        <v>5.8885791899307547</v>
      </c>
      <c r="E12" s="23">
        <v>2.514873424398373</v>
      </c>
      <c r="F12" s="23">
        <v>9.284967331324058E-2</v>
      </c>
    </row>
    <row r="13" spans="1:9" x14ac:dyDescent="0.15">
      <c r="A13" s="23" t="s">
        <v>45</v>
      </c>
      <c r="B13" s="23">
        <v>9</v>
      </c>
      <c r="C13" s="23">
        <v>21.073510974833731</v>
      </c>
      <c r="D13" s="23">
        <v>2.3415012194259699</v>
      </c>
      <c r="E13" s="23"/>
      <c r="F13" s="23"/>
    </row>
    <row r="14" spans="1:9" ht="14" thickBot="1" x14ac:dyDescent="0.2">
      <c r="A14" s="24" t="s">
        <v>46</v>
      </c>
      <c r="B14" s="24">
        <v>18</v>
      </c>
      <c r="C14" s="24">
        <v>74.07072368421052</v>
      </c>
      <c r="D14" s="24"/>
      <c r="E14" s="24"/>
      <c r="F14" s="24"/>
    </row>
    <row r="15" spans="1:9" ht="14" thickBot="1" x14ac:dyDescent="0.2"/>
    <row r="16" spans="1:9" x14ac:dyDescent="0.15">
      <c r="A16" s="25"/>
      <c r="B16" s="25" t="s">
        <v>53</v>
      </c>
      <c r="C16" s="25" t="s">
        <v>41</v>
      </c>
      <c r="D16" s="25" t="s">
        <v>54</v>
      </c>
      <c r="E16" s="25" t="s">
        <v>55</v>
      </c>
      <c r="F16" s="25" t="s">
        <v>56</v>
      </c>
      <c r="G16" s="25" t="s">
        <v>57</v>
      </c>
      <c r="H16" s="25" t="s">
        <v>58</v>
      </c>
      <c r="I16" s="25" t="s">
        <v>59</v>
      </c>
    </row>
    <row r="17" spans="1:9" x14ac:dyDescent="0.15">
      <c r="A17" s="31" t="s">
        <v>47</v>
      </c>
      <c r="B17" s="27">
        <v>2.1377385749952613</v>
      </c>
      <c r="C17" s="27">
        <v>1.3441654897643838</v>
      </c>
      <c r="D17" s="27">
        <v>1.5903834693524095</v>
      </c>
      <c r="E17" s="29">
        <v>0.1462117809408669</v>
      </c>
      <c r="F17" s="27">
        <v>-0.90297501566139715</v>
      </c>
      <c r="G17" s="27">
        <v>5.1784521656519198</v>
      </c>
      <c r="H17" s="27">
        <v>-0.90297501566139715</v>
      </c>
      <c r="I17" s="27">
        <v>5.1784521656519198</v>
      </c>
    </row>
    <row r="18" spans="1:9" x14ac:dyDescent="0.15">
      <c r="A18" s="31" t="s">
        <v>26</v>
      </c>
      <c r="B18" s="27">
        <v>-5.2059615285639418E-2</v>
      </c>
      <c r="C18" s="27">
        <v>0.21364377979070404</v>
      </c>
      <c r="D18" s="27">
        <v>-0.24367484668469908</v>
      </c>
      <c r="E18" s="29">
        <v>0.8129462862266057</v>
      </c>
      <c r="F18" s="27">
        <v>-0.53535542202646302</v>
      </c>
      <c r="G18" s="27">
        <v>0.43123619145518416</v>
      </c>
      <c r="H18" s="27">
        <v>-0.53535542202646302</v>
      </c>
      <c r="I18" s="27">
        <v>0.43123619145518416</v>
      </c>
    </row>
    <row r="19" spans="1:9" x14ac:dyDescent="0.15">
      <c r="A19" s="31" t="s">
        <v>27</v>
      </c>
      <c r="B19" s="27">
        <v>-4.3411921005329444E-2</v>
      </c>
      <c r="C19" s="27">
        <v>0.15608484675658096</v>
      </c>
      <c r="D19" s="27">
        <v>-0.27813027278062197</v>
      </c>
      <c r="E19" s="29">
        <v>0.78719641537247809</v>
      </c>
      <c r="F19" s="27">
        <v>-0.39650037509998931</v>
      </c>
      <c r="G19" s="27">
        <v>0.30967653308933041</v>
      </c>
      <c r="H19" s="27">
        <v>-0.39650037509998931</v>
      </c>
      <c r="I19" s="27">
        <v>0.30967653308933041</v>
      </c>
    </row>
    <row r="20" spans="1:9" x14ac:dyDescent="0.15">
      <c r="A20" s="31" t="s">
        <v>28</v>
      </c>
      <c r="B20" s="27">
        <v>0.17377982150813495</v>
      </c>
      <c r="C20" s="27">
        <v>0.17108504755699461</v>
      </c>
      <c r="D20" s="27">
        <v>1.0157510781311418</v>
      </c>
      <c r="E20" s="29">
        <v>0.33627506856068617</v>
      </c>
      <c r="F20" s="27">
        <v>-0.213241444270592</v>
      </c>
      <c r="G20" s="27">
        <v>0.56080108728686195</v>
      </c>
      <c r="H20" s="27">
        <v>-0.213241444270592</v>
      </c>
      <c r="I20" s="27">
        <v>0.56080108728686195</v>
      </c>
    </row>
    <row r="21" spans="1:9" x14ac:dyDescent="0.15">
      <c r="A21" s="31" t="s">
        <v>29</v>
      </c>
      <c r="B21" s="27">
        <v>0.28465749897266829</v>
      </c>
      <c r="C21" s="27">
        <v>0.24049941302413019</v>
      </c>
      <c r="D21" s="27">
        <v>1.1836099531108109</v>
      </c>
      <c r="E21" s="29">
        <v>0.26688648373198509</v>
      </c>
      <c r="F21" s="27">
        <v>-0.2593899708486318</v>
      </c>
      <c r="G21" s="27">
        <v>0.82870496879396838</v>
      </c>
      <c r="H21" s="27">
        <v>-0.2593899708486318</v>
      </c>
      <c r="I21" s="27">
        <v>0.82870496879396838</v>
      </c>
    </row>
    <row r="22" spans="1:9" x14ac:dyDescent="0.15">
      <c r="A22" s="31" t="s">
        <v>30</v>
      </c>
      <c r="B22" s="27">
        <v>0.27903269196460295</v>
      </c>
      <c r="C22" s="27">
        <v>0.1942987668795812</v>
      </c>
      <c r="D22" s="27">
        <v>1.436101198406146</v>
      </c>
      <c r="E22" s="29">
        <v>0.18480620620784416</v>
      </c>
      <c r="F22" s="27">
        <v>-0.16050165525490034</v>
      </c>
      <c r="G22" s="27">
        <v>0.71856703918410625</v>
      </c>
      <c r="H22" s="27">
        <v>-0.16050165525490034</v>
      </c>
      <c r="I22" s="27">
        <v>0.71856703918410625</v>
      </c>
    </row>
    <row r="23" spans="1:9" x14ac:dyDescent="0.15">
      <c r="A23" s="31" t="s">
        <v>31</v>
      </c>
      <c r="B23" s="27">
        <v>0.21409643353488769</v>
      </c>
      <c r="C23" s="27">
        <v>0.28728986682614321</v>
      </c>
      <c r="D23" s="27">
        <v>0.74522793268044718</v>
      </c>
      <c r="E23" s="29">
        <v>0.47514459114686503</v>
      </c>
      <c r="F23" s="27">
        <v>-0.43579839650521468</v>
      </c>
      <c r="G23" s="27">
        <v>0.86399126357499012</v>
      </c>
      <c r="H23" s="27">
        <v>-0.43579839650521468</v>
      </c>
      <c r="I23" s="27">
        <v>0.86399126357499012</v>
      </c>
    </row>
    <row r="24" spans="1:9" x14ac:dyDescent="0.15">
      <c r="A24" s="31" t="s">
        <v>32</v>
      </c>
      <c r="B24" s="27">
        <v>-0.2434424477951101</v>
      </c>
      <c r="C24" s="27">
        <v>0.32453599799325228</v>
      </c>
      <c r="D24" s="27">
        <v>-0.75012463732966761</v>
      </c>
      <c r="E24" s="29">
        <v>0.47233301206760325</v>
      </c>
      <c r="F24" s="27">
        <v>-0.9775938802414097</v>
      </c>
      <c r="G24" s="27">
        <v>0.49070898465118956</v>
      </c>
      <c r="H24" s="27">
        <v>-0.9775938802414097</v>
      </c>
      <c r="I24" s="27">
        <v>0.49070898465118956</v>
      </c>
    </row>
    <row r="25" spans="1:9" x14ac:dyDescent="0.15">
      <c r="A25" s="31" t="s">
        <v>33</v>
      </c>
      <c r="B25" s="27">
        <v>4.5632778760282952E-3</v>
      </c>
      <c r="C25" s="27">
        <v>0.14273979322817107</v>
      </c>
      <c r="D25" s="27">
        <v>3.1969206153562565E-2</v>
      </c>
      <c r="E25" s="29">
        <v>0.97519435877165284</v>
      </c>
      <c r="F25" s="27">
        <v>-0.31833656779141367</v>
      </c>
      <c r="G25" s="27">
        <v>0.32746312354347024</v>
      </c>
      <c r="H25" s="27">
        <v>-0.31833656779141367</v>
      </c>
      <c r="I25" s="27">
        <v>0.32746312354347024</v>
      </c>
    </row>
    <row r="26" spans="1:9" ht="14" thickBot="1" x14ac:dyDescent="0.2">
      <c r="A26" s="32" t="s">
        <v>34</v>
      </c>
      <c r="B26" s="28">
        <v>0.21887097916062206</v>
      </c>
      <c r="C26" s="28">
        <v>0.3772721969206127</v>
      </c>
      <c r="D26" s="28">
        <v>0.58014076029747264</v>
      </c>
      <c r="E26" s="30">
        <v>0.57605388525822243</v>
      </c>
      <c r="F26" s="28">
        <v>-0.63457802342795699</v>
      </c>
      <c r="G26" s="28">
        <v>1.0723199817492011</v>
      </c>
      <c r="H26" s="28">
        <v>-0.63457802342795699</v>
      </c>
      <c r="I26" s="28">
        <v>1.0723199817492011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D9D05-54C8-AB4B-983F-B76BF9E9341D}">
  <sheetPr>
    <outlinePr summaryBelow="0" summaryRight="0"/>
  </sheetPr>
  <dimension ref="A1:J20"/>
  <sheetViews>
    <sheetView zoomScale="130" zoomScaleNormal="130" workbookViewId="0">
      <pane ySplit="1" topLeftCell="A20" activePane="bottomLeft" state="frozen"/>
      <selection pane="bottomLeft" activeCell="A4" sqref="A4"/>
    </sheetView>
  </sheetViews>
  <sheetFormatPr baseColWidth="10" defaultColWidth="12.6640625" defaultRowHeight="15.75" customHeight="1" x14ac:dyDescent="0.15"/>
  <cols>
    <col min="1" max="1" width="15.1640625" bestFit="1" customWidth="1"/>
    <col min="2" max="2" width="5.33203125" bestFit="1" customWidth="1"/>
    <col min="3" max="3" width="10.5" bestFit="1" customWidth="1"/>
    <col min="4" max="4" width="14.33203125" bestFit="1" customWidth="1"/>
    <col min="5" max="5" width="12.5" bestFit="1" customWidth="1"/>
    <col min="6" max="6" width="9.33203125" bestFit="1" customWidth="1"/>
    <col min="7" max="7" width="4" bestFit="1" customWidth="1"/>
    <col min="8" max="8" width="7.33203125" bestFit="1" customWidth="1"/>
    <col min="9" max="9" width="9.1640625" bestFit="1" customWidth="1"/>
    <col min="10" max="10" width="6" bestFit="1" customWidth="1"/>
    <col min="11" max="16" width="18.83203125" customWidth="1"/>
  </cols>
  <sheetData>
    <row r="1" spans="1:10" s="15" customFormat="1" ht="15.75" customHeight="1" x14ac:dyDescent="0.15">
      <c r="A1" s="22" t="s">
        <v>35</v>
      </c>
      <c r="B1" s="21" t="s">
        <v>26</v>
      </c>
      <c r="C1" s="21" t="s">
        <v>27</v>
      </c>
      <c r="D1" s="21" t="s">
        <v>28</v>
      </c>
      <c r="E1" s="21" t="s">
        <v>29</v>
      </c>
      <c r="F1" s="21" t="s">
        <v>30</v>
      </c>
      <c r="G1" s="21" t="s">
        <v>31</v>
      </c>
      <c r="H1" s="21" t="s">
        <v>32</v>
      </c>
      <c r="I1" s="21" t="s">
        <v>33</v>
      </c>
      <c r="J1" s="21" t="s">
        <v>34</v>
      </c>
    </row>
    <row r="2" spans="1:10" ht="15.75" customHeight="1" x14ac:dyDescent="0.15">
      <c r="A2" s="5">
        <v>6.5</v>
      </c>
      <c r="B2" s="5">
        <v>8</v>
      </c>
      <c r="C2" s="5">
        <v>1</v>
      </c>
      <c r="D2" s="5">
        <v>9</v>
      </c>
      <c r="E2" s="5">
        <v>8</v>
      </c>
      <c r="F2" s="5">
        <v>4</v>
      </c>
      <c r="G2" s="5">
        <v>4</v>
      </c>
      <c r="H2" s="5">
        <v>10</v>
      </c>
      <c r="I2" s="5">
        <v>1</v>
      </c>
      <c r="J2" s="6">
        <v>9</v>
      </c>
    </row>
    <row r="3" spans="1:10" ht="15.75" customHeight="1" x14ac:dyDescent="0.15">
      <c r="A3" s="8">
        <v>5.625</v>
      </c>
      <c r="B3" s="8">
        <v>4</v>
      </c>
      <c r="C3" s="8">
        <v>8</v>
      </c>
      <c r="D3" s="8">
        <v>1</v>
      </c>
      <c r="E3" s="8">
        <v>7</v>
      </c>
      <c r="F3" s="8">
        <v>7</v>
      </c>
      <c r="G3" s="8">
        <v>7</v>
      </c>
      <c r="H3" s="8">
        <v>10</v>
      </c>
      <c r="I3" s="8">
        <v>1</v>
      </c>
      <c r="J3" s="9">
        <v>10</v>
      </c>
    </row>
    <row r="4" spans="1:10" ht="15.75" customHeight="1" x14ac:dyDescent="0.15">
      <c r="A4" s="5">
        <v>7.875</v>
      </c>
      <c r="B4" s="5">
        <v>6</v>
      </c>
      <c r="C4" s="5">
        <v>3</v>
      </c>
      <c r="D4" s="5">
        <v>6</v>
      </c>
      <c r="E4" s="5">
        <v>8</v>
      </c>
      <c r="F4" s="5">
        <v>8</v>
      </c>
      <c r="G4" s="5">
        <v>7</v>
      </c>
      <c r="H4" s="5">
        <v>8</v>
      </c>
      <c r="I4" s="5">
        <v>8</v>
      </c>
      <c r="J4" s="6">
        <v>7</v>
      </c>
    </row>
    <row r="5" spans="1:10" ht="15.75" customHeight="1" x14ac:dyDescent="0.15">
      <c r="A5" s="8">
        <v>4.625</v>
      </c>
      <c r="B5" s="8">
        <v>9</v>
      </c>
      <c r="C5" s="8">
        <v>1</v>
      </c>
      <c r="D5" s="8">
        <v>4</v>
      </c>
      <c r="E5" s="8">
        <v>8</v>
      </c>
      <c r="F5" s="8">
        <v>3</v>
      </c>
      <c r="G5" s="8">
        <v>1</v>
      </c>
      <c r="H5" s="8">
        <v>3</v>
      </c>
      <c r="I5" s="8">
        <v>1</v>
      </c>
      <c r="J5" s="9">
        <v>3</v>
      </c>
    </row>
    <row r="6" spans="1:10" ht="15.75" customHeight="1" x14ac:dyDescent="0.15">
      <c r="A6" s="5">
        <v>4.75</v>
      </c>
      <c r="B6" s="5">
        <v>7</v>
      </c>
      <c r="C6" s="5">
        <v>1</v>
      </c>
      <c r="D6" s="5">
        <v>2</v>
      </c>
      <c r="E6" s="5">
        <v>6</v>
      </c>
      <c r="F6" s="5">
        <v>3</v>
      </c>
      <c r="G6" s="5">
        <v>5</v>
      </c>
      <c r="H6" s="5">
        <v>8</v>
      </c>
      <c r="I6" s="5">
        <v>1</v>
      </c>
      <c r="J6" s="6">
        <v>5</v>
      </c>
    </row>
    <row r="7" spans="1:10" ht="15.75" customHeight="1" x14ac:dyDescent="0.15">
      <c r="A7" s="8">
        <v>8.625</v>
      </c>
      <c r="B7" s="8">
        <v>7</v>
      </c>
      <c r="C7" s="8">
        <v>7</v>
      </c>
      <c r="D7" s="8">
        <v>7</v>
      </c>
      <c r="E7" s="8">
        <v>7</v>
      </c>
      <c r="F7" s="8">
        <v>9</v>
      </c>
      <c r="G7" s="8">
        <v>8</v>
      </c>
      <c r="H7" s="8">
        <v>10</v>
      </c>
      <c r="I7" s="8">
        <v>2</v>
      </c>
      <c r="J7" s="9">
        <v>10</v>
      </c>
    </row>
    <row r="8" spans="1:10" ht="15.75" customHeight="1" x14ac:dyDescent="0.15">
      <c r="A8" s="5">
        <v>7.375</v>
      </c>
      <c r="B8" s="5">
        <v>3</v>
      </c>
      <c r="C8" s="5">
        <v>9</v>
      </c>
      <c r="D8" s="5">
        <v>4</v>
      </c>
      <c r="E8" s="5">
        <v>7</v>
      </c>
      <c r="F8" s="5">
        <v>9</v>
      </c>
      <c r="G8" s="5">
        <v>5</v>
      </c>
      <c r="H8" s="5">
        <v>7</v>
      </c>
      <c r="I8" s="5">
        <v>10</v>
      </c>
      <c r="J8" s="6">
        <v>9</v>
      </c>
    </row>
    <row r="9" spans="1:10" ht="15.75" customHeight="1" x14ac:dyDescent="0.15">
      <c r="A9" s="8">
        <v>7.75</v>
      </c>
      <c r="B9" s="8">
        <v>10</v>
      </c>
      <c r="C9" s="8">
        <v>9</v>
      </c>
      <c r="D9" s="8">
        <v>9</v>
      </c>
      <c r="E9" s="8">
        <v>10</v>
      </c>
      <c r="F9" s="8">
        <v>8</v>
      </c>
      <c r="G9" s="8">
        <v>9</v>
      </c>
      <c r="H9" s="8">
        <v>10</v>
      </c>
      <c r="I9" s="8">
        <v>1</v>
      </c>
      <c r="J9" s="9">
        <v>8</v>
      </c>
    </row>
    <row r="10" spans="1:10" ht="15.75" customHeight="1" x14ac:dyDescent="0.15">
      <c r="A10" s="5">
        <v>4.5</v>
      </c>
      <c r="B10" s="5">
        <v>2</v>
      </c>
      <c r="C10" s="5">
        <v>4</v>
      </c>
      <c r="D10" s="5">
        <v>8</v>
      </c>
      <c r="E10" s="5">
        <v>1</v>
      </c>
      <c r="F10" s="5">
        <v>3</v>
      </c>
      <c r="G10" s="5">
        <v>3</v>
      </c>
      <c r="H10" s="5">
        <v>6</v>
      </c>
      <c r="I10" s="5">
        <v>6</v>
      </c>
      <c r="J10" s="6">
        <v>6</v>
      </c>
    </row>
    <row r="11" spans="1:10" ht="15.75" customHeight="1" x14ac:dyDescent="0.15">
      <c r="A11" s="8">
        <v>8.25</v>
      </c>
      <c r="B11" s="8">
        <v>6</v>
      </c>
      <c r="C11" s="8">
        <v>7</v>
      </c>
      <c r="D11" s="8">
        <v>7</v>
      </c>
      <c r="E11" s="8">
        <v>5</v>
      </c>
      <c r="F11" s="8">
        <v>6</v>
      </c>
      <c r="G11" s="8">
        <v>5</v>
      </c>
      <c r="H11" s="8">
        <v>4</v>
      </c>
      <c r="I11" s="8">
        <v>6</v>
      </c>
      <c r="J11" s="9">
        <v>7</v>
      </c>
    </row>
    <row r="12" spans="1:10" ht="15.75" customHeight="1" x14ac:dyDescent="0.15">
      <c r="A12" s="5">
        <v>7.875</v>
      </c>
      <c r="B12" s="5">
        <v>7</v>
      </c>
      <c r="C12" s="5">
        <v>1</v>
      </c>
      <c r="D12" s="5">
        <v>1</v>
      </c>
      <c r="E12" s="5">
        <v>10</v>
      </c>
      <c r="F12" s="5">
        <v>2</v>
      </c>
      <c r="G12" s="5">
        <v>10</v>
      </c>
      <c r="H12" s="5">
        <v>10</v>
      </c>
      <c r="I12" s="5">
        <v>6</v>
      </c>
      <c r="J12" s="6">
        <v>10</v>
      </c>
    </row>
    <row r="13" spans="1:10" ht="15.75" customHeight="1" x14ac:dyDescent="0.15">
      <c r="A13" s="8">
        <v>9.375</v>
      </c>
      <c r="B13" s="8">
        <v>2</v>
      </c>
      <c r="C13" s="8">
        <v>1</v>
      </c>
      <c r="D13" s="8">
        <v>4</v>
      </c>
      <c r="E13" s="8">
        <v>8</v>
      </c>
      <c r="F13" s="8">
        <v>9</v>
      </c>
      <c r="G13" s="8">
        <v>7</v>
      </c>
      <c r="H13" s="8">
        <v>8</v>
      </c>
      <c r="I13" s="8">
        <v>1</v>
      </c>
      <c r="J13" s="9">
        <v>9</v>
      </c>
    </row>
    <row r="14" spans="1:10" ht="15.75" customHeight="1" x14ac:dyDescent="0.15">
      <c r="A14" s="5">
        <v>9.375</v>
      </c>
      <c r="B14" s="5">
        <v>4</v>
      </c>
      <c r="C14" s="5">
        <v>10</v>
      </c>
      <c r="D14" s="5">
        <v>5</v>
      </c>
      <c r="E14" s="5">
        <v>10</v>
      </c>
      <c r="F14" s="5">
        <v>7</v>
      </c>
      <c r="G14" s="5">
        <v>5</v>
      </c>
      <c r="H14" s="5">
        <v>10</v>
      </c>
      <c r="I14" s="5">
        <v>6</v>
      </c>
      <c r="J14" s="6">
        <v>10</v>
      </c>
    </row>
    <row r="15" spans="1:10" ht="15.75" customHeight="1" x14ac:dyDescent="0.15">
      <c r="A15" s="8">
        <v>7</v>
      </c>
      <c r="B15" s="8">
        <v>5</v>
      </c>
      <c r="C15" s="8">
        <v>6</v>
      </c>
      <c r="D15" s="8">
        <v>4</v>
      </c>
      <c r="E15" s="8">
        <v>5</v>
      </c>
      <c r="F15" s="8">
        <v>10</v>
      </c>
      <c r="G15" s="8">
        <v>5</v>
      </c>
      <c r="H15" s="8">
        <v>8</v>
      </c>
      <c r="I15" s="8">
        <v>1</v>
      </c>
      <c r="J15" s="9">
        <v>5</v>
      </c>
    </row>
    <row r="16" spans="1:10" ht="15.75" customHeight="1" x14ac:dyDescent="0.15">
      <c r="A16" s="8">
        <v>1.5</v>
      </c>
      <c r="B16" s="8">
        <v>2</v>
      </c>
      <c r="C16" s="8">
        <v>1</v>
      </c>
      <c r="D16" s="8">
        <v>1</v>
      </c>
      <c r="E16" s="8">
        <v>1</v>
      </c>
      <c r="F16" s="8">
        <v>1</v>
      </c>
      <c r="G16" s="8">
        <v>1</v>
      </c>
      <c r="H16" s="8">
        <v>1</v>
      </c>
      <c r="I16" s="8">
        <v>1</v>
      </c>
      <c r="J16" s="9">
        <v>1</v>
      </c>
    </row>
    <row r="17" spans="1:10" ht="15.75" customHeight="1" x14ac:dyDescent="0.15">
      <c r="A17" s="5">
        <v>7.25</v>
      </c>
      <c r="B17" s="5">
        <v>7</v>
      </c>
      <c r="C17" s="5">
        <v>2</v>
      </c>
      <c r="D17" s="5">
        <v>3</v>
      </c>
      <c r="E17" s="5">
        <v>3</v>
      </c>
      <c r="F17" s="5">
        <v>4</v>
      </c>
      <c r="G17" s="5">
        <v>3</v>
      </c>
      <c r="H17" s="5">
        <v>4</v>
      </c>
      <c r="I17" s="5">
        <v>1</v>
      </c>
      <c r="J17" s="6">
        <v>3</v>
      </c>
    </row>
    <row r="18" spans="1:10" ht="15.75" customHeight="1" x14ac:dyDescent="0.15">
      <c r="A18" s="8">
        <v>8.125</v>
      </c>
      <c r="B18" s="8">
        <v>9</v>
      </c>
      <c r="C18" s="8">
        <v>8</v>
      </c>
      <c r="D18" s="8">
        <v>5</v>
      </c>
      <c r="E18" s="8">
        <v>8</v>
      </c>
      <c r="F18" s="8">
        <v>9</v>
      </c>
      <c r="G18" s="8">
        <v>7</v>
      </c>
      <c r="H18" s="8">
        <v>9</v>
      </c>
      <c r="I18" s="8">
        <v>8</v>
      </c>
      <c r="J18" s="9">
        <v>9</v>
      </c>
    </row>
    <row r="19" spans="1:10" ht="15.75" customHeight="1" x14ac:dyDescent="0.15">
      <c r="A19" s="5">
        <v>5.625</v>
      </c>
      <c r="B19" s="5">
        <v>3</v>
      </c>
      <c r="C19" s="5">
        <v>2</v>
      </c>
      <c r="D19" s="5">
        <v>3</v>
      </c>
      <c r="E19" s="5">
        <v>5</v>
      </c>
      <c r="F19" s="5">
        <v>5</v>
      </c>
      <c r="G19" s="5">
        <v>3</v>
      </c>
      <c r="H19" s="5">
        <v>5</v>
      </c>
      <c r="I19" s="5">
        <v>1</v>
      </c>
      <c r="J19" s="6">
        <v>5</v>
      </c>
    </row>
    <row r="20" spans="1:10" ht="15.75" customHeight="1" x14ac:dyDescent="0.15">
      <c r="A20" s="11">
        <v>9</v>
      </c>
      <c r="B20" s="11">
        <v>5</v>
      </c>
      <c r="C20" s="11">
        <v>7</v>
      </c>
      <c r="D20" s="11">
        <v>7</v>
      </c>
      <c r="E20" s="11">
        <v>8</v>
      </c>
      <c r="F20" s="11">
        <v>6</v>
      </c>
      <c r="G20" s="11">
        <v>5</v>
      </c>
      <c r="H20" s="11">
        <v>8</v>
      </c>
      <c r="I20" s="11">
        <v>1</v>
      </c>
      <c r="J20" s="12">
        <v>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Form Responses 1</vt:lpstr>
      <vt:lpstr>Form Responses 1 (2)</vt:lpstr>
      <vt:lpstr>Form Responses 1 (3)</vt:lpstr>
      <vt:lpstr>Sheet4</vt:lpstr>
      <vt:lpstr>Form Responses 1 (4)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Shay Tsaban</cp:lastModifiedBy>
  <dcterms:created xsi:type="dcterms:W3CDTF">2025-05-10T19:45:24Z</dcterms:created>
  <dcterms:modified xsi:type="dcterms:W3CDTF">2025-05-10T19:45:24Z</dcterms:modified>
</cp:coreProperties>
</file>